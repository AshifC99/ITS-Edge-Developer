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xr:revisionPtr revIDLastSave="0" documentId="13_ncr:1000001_{9A86CA9E-6109-1245-89CC-0BD9D03BFE96}" xr6:coauthVersionLast="47" xr6:coauthVersionMax="47" xr10:uidLastSave="{00000000-0000-0000-0000-000000000000}"/>
  <bookViews>
    <workbookView xWindow="370" yWindow="370" windowWidth="25580" windowHeight="15380" activeTab="2" xr2:uid="{00000000-000D-0000-FFFF-FFFF00000000}"/>
  </bookViews>
  <sheets>
    <sheet name="Contabilità fornitori" sheetId="1" r:id="rId1"/>
    <sheet name="Invecchiamento dei crediti" sheetId="2" r:id="rId2"/>
    <sheet name="razione di non responsabilità -" sheetId="3" r:id="rId3"/>
  </sheets>
  <externalReferences>
    <externalReference r:id="rId4"/>
  </externalReferences>
  <definedNames>
    <definedName name="_xlnm.Print_Area" localSheetId="0">'Contabilità fornitori'!$B$3:$T$27</definedName>
    <definedName name="_xlnm.Print_Area" localSheetId="1">'Invecchiamento dei crediti'!$B$2:$M$30</definedName>
    <definedName name="REASSESSMENT_DATE">#REF!</definedName>
    <definedName name="Type">'[1]Maintenance Work Order'!#REF!</definedName>
  </definedName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 l="1"/>
  <c r="H4" i="2"/>
  <c r="M7" i="2"/>
  <c r="G8" i="2"/>
  <c r="M8" i="2"/>
  <c r="G9" i="2"/>
  <c r="M9" i="2"/>
  <c r="G10" i="2"/>
  <c r="M10" i="2"/>
  <c r="G11" i="2"/>
  <c r="M11" i="2"/>
  <c r="G12" i="2"/>
  <c r="M12" i="2"/>
  <c r="G13" i="2"/>
  <c r="M13" i="2"/>
  <c r="G14" i="2"/>
  <c r="M14" i="2"/>
  <c r="G15" i="2"/>
  <c r="M15" i="2"/>
  <c r="G16" i="2"/>
  <c r="M16" i="2"/>
  <c r="G17" i="2"/>
  <c r="M17" i="2"/>
  <c r="G18" i="2"/>
  <c r="M18" i="2"/>
  <c r="G19" i="2"/>
  <c r="M19" i="2"/>
  <c r="G20" i="2"/>
  <c r="M20" i="2"/>
  <c r="G21" i="2"/>
  <c r="M21" i="2"/>
  <c r="G22" i="2"/>
  <c r="M22" i="2"/>
  <c r="G23" i="2"/>
  <c r="M23" i="2"/>
  <c r="G24" i="2"/>
  <c r="M24" i="2"/>
  <c r="G25" i="2"/>
  <c r="M25" i="2"/>
  <c r="G26" i="2"/>
  <c r="M26" i="2"/>
  <c r="M27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7" i="2"/>
  <c r="H8" i="1"/>
  <c r="H7" i="2"/>
  <c r="H9" i="1"/>
  <c r="H8" i="2"/>
  <c r="H10" i="1"/>
  <c r="H9" i="2"/>
  <c r="H11" i="1"/>
  <c r="H10" i="2"/>
  <c r="H12" i="1"/>
  <c r="H11" i="2"/>
  <c r="H13" i="1"/>
  <c r="H12" i="2"/>
  <c r="H14" i="1"/>
  <c r="H13" i="2"/>
  <c r="H15" i="1"/>
  <c r="H14" i="2"/>
  <c r="H16" i="1"/>
  <c r="H15" i="2"/>
  <c r="H17" i="1"/>
  <c r="H16" i="2"/>
  <c r="H18" i="1"/>
  <c r="H17" i="2"/>
  <c r="H19" i="1"/>
  <c r="H18" i="2"/>
  <c r="H20" i="1"/>
  <c r="H19" i="2"/>
  <c r="H21" i="1"/>
  <c r="H20" i="2"/>
  <c r="H22" i="1"/>
  <c r="H21" i="2"/>
  <c r="H23" i="1"/>
  <c r="H22" i="2"/>
  <c r="H24" i="1"/>
  <c r="H23" i="2"/>
  <c r="H25" i="1"/>
  <c r="H24" i="2"/>
  <c r="H27" i="2"/>
  <c r="I26" i="2"/>
  <c r="H27" i="1"/>
  <c r="H26" i="2"/>
  <c r="F26" i="2"/>
  <c r="E26" i="2"/>
  <c r="D26" i="2"/>
  <c r="C26" i="2"/>
  <c r="B26" i="2"/>
  <c r="I25" i="2"/>
  <c r="H26" i="1"/>
  <c r="H25" i="2"/>
  <c r="F25" i="2"/>
  <c r="E25" i="2"/>
  <c r="D25" i="2"/>
  <c r="C25" i="2"/>
  <c r="B25" i="2"/>
  <c r="F24" i="2"/>
  <c r="E24" i="2"/>
  <c r="D24" i="2"/>
  <c r="C24" i="2"/>
  <c r="B24" i="2"/>
  <c r="F23" i="2"/>
  <c r="E23" i="2"/>
  <c r="D23" i="2"/>
  <c r="C23" i="2"/>
  <c r="B23" i="2"/>
  <c r="F22" i="2"/>
  <c r="E22" i="2"/>
  <c r="D22" i="2"/>
  <c r="C22" i="2"/>
  <c r="B22" i="2"/>
  <c r="F21" i="2"/>
  <c r="E21" i="2"/>
  <c r="D21" i="2"/>
  <c r="C21" i="2"/>
  <c r="B21" i="2"/>
  <c r="F20" i="2"/>
  <c r="E20" i="2"/>
  <c r="D20" i="2"/>
  <c r="C20" i="2"/>
  <c r="B20" i="2"/>
  <c r="F19" i="2"/>
  <c r="E19" i="2"/>
  <c r="D19" i="2"/>
  <c r="C19" i="2"/>
  <c r="B19" i="2"/>
  <c r="F18" i="2"/>
  <c r="E18" i="2"/>
  <c r="D18" i="2"/>
  <c r="C18" i="2"/>
  <c r="B18" i="2"/>
  <c r="F17" i="2"/>
  <c r="E17" i="2"/>
  <c r="D17" i="2"/>
  <c r="C17" i="2"/>
  <c r="B17" i="2"/>
  <c r="F16" i="2"/>
  <c r="E16" i="2"/>
  <c r="D16" i="2"/>
  <c r="C16" i="2"/>
  <c r="B16" i="2"/>
  <c r="F15" i="2"/>
  <c r="E15" i="2"/>
  <c r="D15" i="2"/>
  <c r="C15" i="2"/>
  <c r="B15" i="2"/>
  <c r="F14" i="2"/>
  <c r="E14" i="2"/>
  <c r="D14" i="2"/>
  <c r="C14" i="2"/>
  <c r="B14" i="2"/>
  <c r="F13" i="2"/>
  <c r="E13" i="2"/>
  <c r="D13" i="2"/>
  <c r="C13" i="2"/>
  <c r="B13" i="2"/>
  <c r="F12" i="2"/>
  <c r="E12" i="2"/>
  <c r="D12" i="2"/>
  <c r="C12" i="2"/>
  <c r="B12" i="2"/>
  <c r="F11" i="2"/>
  <c r="E11" i="2"/>
  <c r="D11" i="2"/>
  <c r="C11" i="2"/>
  <c r="B11" i="2"/>
  <c r="F10" i="2"/>
  <c r="E10" i="2"/>
  <c r="D10" i="2"/>
  <c r="C10" i="2"/>
  <c r="B10" i="2"/>
  <c r="F9" i="2"/>
  <c r="E9" i="2"/>
  <c r="D9" i="2"/>
  <c r="C9" i="2"/>
  <c r="B9" i="2"/>
  <c r="F8" i="2"/>
  <c r="E8" i="2"/>
  <c r="D8" i="2"/>
  <c r="C8" i="2"/>
  <c r="B8" i="2"/>
  <c r="F7" i="2"/>
  <c r="E7" i="2"/>
  <c r="D7" i="2"/>
  <c r="C7" i="2"/>
  <c r="B7" i="2"/>
  <c r="I5" i="1"/>
  <c r="H5" i="1"/>
</calcChain>
</file>

<file path=xl/sharedStrings.xml><?xml version="1.0" encoding="utf-8"?>
<sst xmlns="http://schemas.openxmlformats.org/spreadsheetml/2006/main" count="52" uniqueCount="39">
  <si>
    <t>MODELLO CONTABILITÀ CREDITI</t>
  </si>
  <si>
    <t>CONTABILITÀ FORNITORI</t>
  </si>
  <si>
    <t>SOCIETÀ</t>
  </si>
  <si>
    <t>TOTALE DOVUTO</t>
  </si>
  <si>
    <t>DATA CORRENTE</t>
  </si>
  <si>
    <t>INFORMAZIONI AGGIUNTIVE</t>
  </si>
  <si>
    <t xml:space="preserve">Immettere tutti i dati nella scheda Contabilità fornitori.  La invecchiamento dei crediti verrà popolato automaticamente.  </t>
  </si>
  <si>
    <t>DATA FATTURA</t>
  </si>
  <si>
    <t>NUMERO FATTURA</t>
  </si>
  <si>
    <t>CLIENTE</t>
  </si>
  <si>
    <t>TERMINI</t>
  </si>
  <si>
    <t>IMPORTO TOTALE</t>
  </si>
  <si>
    <t>DATA DI SCADENZA</t>
  </si>
  <si>
    <t>SALDO DOVUTO</t>
  </si>
  <si>
    <t>PAGAMENTO 1</t>
  </si>
  <si>
    <t>PAGAMENTO 2</t>
  </si>
  <si>
    <t>PAGAMENTO 3</t>
  </si>
  <si>
    <t>PAGAMENTO 4</t>
  </si>
  <si>
    <t>PAGAMENTO 5</t>
  </si>
  <si>
    <t>PAGAMENTO 6</t>
  </si>
  <si>
    <t>PAGAMENTO 7</t>
  </si>
  <si>
    <t>PAGAMENTO 8</t>
  </si>
  <si>
    <t>PAGAMENTO 9</t>
  </si>
  <si>
    <t>PAGAMENTO 10</t>
  </si>
  <si>
    <t>PAGAMENTO 11</t>
  </si>
  <si>
    <t>PAGAMENTO 12</t>
  </si>
  <si>
    <t>CLICCA QUI PER CREARE IN SMARTSHEET</t>
  </si>
  <si>
    <t>INVECCHIAMENTO DEI CREDITI</t>
  </si>
  <si>
    <t>CORRENTE</t>
  </si>
  <si>
    <t>1-30 ANNI</t>
  </si>
  <si>
    <t>31-60 ANNI</t>
  </si>
  <si>
    <t>61-90 ANNI</t>
  </si>
  <si>
    <t>ETÀ &gt; 91 ANNI</t>
  </si>
  <si>
    <t>INVECCHIAMENTO TOTALE DEI CREDITI</t>
  </si>
  <si>
    <t>PREPARATO DA</t>
  </si>
  <si>
    <t>DATTERO</t>
  </si>
  <si>
    <t>RECENSITO DA</t>
  </si>
  <si>
    <t xml:space="preserve"> </t>
  </si>
  <si>
    <t xml:space="preserve">Tutti gli articoli, i modelli o le informazioni fornite da Smartsheet sul sito Web sono solo di riferimento. Mentre ci sforziamo di mantenere le informazioni aggiornate e corrette, non rilasciamo dichiarazioni o garanzie di alcun tipo, esplicite o implicite, circa la completezza, l'accuratezza, l'affidabilità, l'idoneità o la disponibilità in relazione al sito Web o alle informazioni, agli articoli, ai modelli o alla grafica correlata contenuti nel sito Web. Qualsiasi affidamento che fai su tali informazioni è quindi strettamente a tuo rischio.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</si>
</sst>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mm/dd/yy;@"/>
    <numFmt numFmtId="165" formatCode="_(&quot;$&quot;* #,##0.00_);_(&quot;$&quot;* \(#,##0.00\);_(&quot;$&quot;* &quot;-&quot;??_);_(@_)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22"/>
      <color theme="3" tint="-0.249977111117893"/>
      <name val="Century Gothic"/>
      <family val="2"/>
    </font>
    <font>
      <b/>
      <sz val="10"/>
      <color theme="1"/>
      <name val="Century Gothic"/>
      <family val="2"/>
    </font>
    <font>
      <b/>
      <sz val="11"/>
      <color theme="1"/>
      <name val="Century Gothic"/>
      <family val="2"/>
    </font>
    <font>
      <sz val="10"/>
      <color theme="1"/>
      <name val="Century Gothic"/>
      <family val="2"/>
    </font>
    <font>
      <i/>
      <sz val="10"/>
      <color theme="1"/>
      <name val="Century Gothic"/>
      <family val="2"/>
    </font>
    <font>
      <sz val="12"/>
      <color theme="1"/>
      <name val="Century Gothic"/>
      <family val="1"/>
    </font>
    <font>
      <b/>
      <sz val="20"/>
      <color theme="1" tint="0.34998626667073579"/>
      <name val="Century Gothic"/>
      <family val="1"/>
    </font>
    <font>
      <sz val="18"/>
      <color theme="1"/>
      <name val="Century Gothic"/>
      <family val="1"/>
    </font>
    <font>
      <b/>
      <sz val="9"/>
      <color theme="1"/>
      <name val="Century Gothic"/>
      <family val="1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sz val="11"/>
      <color theme="1"/>
      <name val="Century Gothic"/>
      <family val="1"/>
    </font>
    <font>
      <sz val="9"/>
      <color theme="1"/>
      <name val="Century Gothic"/>
      <family val="1"/>
    </font>
    <font>
      <b/>
      <sz val="9"/>
      <color theme="1" tint="0.34998626667073579"/>
      <name val="Century Gothic"/>
      <family val="1"/>
    </font>
    <font>
      <sz val="12"/>
      <color theme="1"/>
      <name val="Arial"/>
      <family val="2"/>
    </font>
    <font>
      <sz val="12"/>
      <color theme="10"/>
      <name val="Calibri"/>
      <family val="2"/>
      <scheme val="minor"/>
    </font>
    <font>
      <sz val="22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00BD32"/>
        <bgColor rgb="FF00BD32"/>
      </patternFill>
    </fill>
  </fills>
  <borders count="1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34998626667073579"/>
      </top>
      <bottom style="medium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theme="0" tint="-0.249977111117893"/>
      </bottom>
      <diagonal/>
    </border>
    <border>
      <left style="thick">
        <color theme="0" tint="-0.34998626667073579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249977111117893"/>
      </bottom>
      <diagonal/>
    </border>
  </borders>
  <cellStyleXfs count="4">
    <xf numFmtId="0" fontId="0" fillId="0" borderId="0"/>
    <xf numFmtId="44" fontId="2" fillId="0" borderId="0"/>
    <xf numFmtId="0" fontId="2" fillId="0" borderId="0"/>
    <xf numFmtId="0" fontId="19" fillId="0" borderId="0"/>
  </cellStyleXfs>
  <cellXfs count="7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6" fillId="0" borderId="0" xfId="0" applyFont="1"/>
    <xf numFmtId="0" fontId="8" fillId="0" borderId="0" xfId="0" applyFont="1" applyAlignment="1">
      <alignment vertical="center"/>
    </xf>
    <xf numFmtId="0" fontId="9" fillId="2" borderId="0" xfId="0" applyFont="1" applyFill="1"/>
    <xf numFmtId="0" fontId="10" fillId="2" borderId="0" xfId="0" applyFont="1" applyFill="1" applyAlignment="1">
      <alignment vertical="center"/>
    </xf>
    <xf numFmtId="0" fontId="11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/>
    <xf numFmtId="0" fontId="12" fillId="5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 indent="1"/>
    </xf>
    <xf numFmtId="0" fontId="13" fillId="0" borderId="1" xfId="0" applyFont="1" applyBorder="1" applyAlignment="1">
      <alignment horizontal="center" vertical="center" wrapText="1"/>
    </xf>
    <xf numFmtId="164" fontId="13" fillId="6" borderId="1" xfId="0" applyNumberFormat="1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 wrapText="1" indent="1"/>
    </xf>
    <xf numFmtId="0" fontId="13" fillId="6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164" fontId="7" fillId="6" borderId="1" xfId="1" applyNumberFormat="1" applyFont="1" applyFill="1" applyBorder="1" applyAlignment="1">
      <alignment horizontal="center" vertical="center"/>
    </xf>
    <xf numFmtId="0" fontId="7" fillId="6" borderId="1" xfId="1" applyNumberFormat="1" applyFont="1" applyFill="1" applyBorder="1" applyAlignment="1">
      <alignment horizontal="left" vertical="center" indent="1"/>
    </xf>
    <xf numFmtId="0" fontId="7" fillId="6" borderId="1" xfId="1" applyNumberFormat="1" applyFont="1" applyFill="1" applyBorder="1" applyAlignment="1">
      <alignment horizontal="center" vertical="center"/>
    </xf>
    <xf numFmtId="164" fontId="7" fillId="7" borderId="1" xfId="1" applyNumberFormat="1" applyFont="1" applyFill="1" applyBorder="1" applyAlignment="1">
      <alignment horizontal="center" vertical="center"/>
    </xf>
    <xf numFmtId="0" fontId="7" fillId="7" borderId="1" xfId="1" applyNumberFormat="1" applyFont="1" applyFill="1" applyBorder="1" applyAlignment="1">
      <alignment horizontal="left" vertical="center" indent="1"/>
    </xf>
    <xf numFmtId="0" fontId="7" fillId="7" borderId="1" xfId="1" applyNumberFormat="1" applyFont="1" applyFill="1" applyBorder="1" applyAlignment="1">
      <alignment horizontal="center" vertical="center"/>
    </xf>
    <xf numFmtId="164" fontId="7" fillId="7" borderId="2" xfId="1" applyNumberFormat="1" applyFont="1" applyFill="1" applyBorder="1" applyAlignment="1">
      <alignment horizontal="center" vertical="center"/>
    </xf>
    <xf numFmtId="0" fontId="7" fillId="7" borderId="2" xfId="1" applyNumberFormat="1" applyFont="1" applyFill="1" applyBorder="1" applyAlignment="1">
      <alignment horizontal="left" vertical="center" indent="1"/>
    </xf>
    <xf numFmtId="0" fontId="7" fillId="7" borderId="2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16" fillId="0" borderId="0" xfId="0" applyFont="1" applyAlignment="1">
      <alignment vertical="center"/>
    </xf>
    <xf numFmtId="164" fontId="5" fillId="3" borderId="2" xfId="0" applyNumberFormat="1" applyFont="1" applyFill="1" applyBorder="1" applyAlignment="1">
      <alignment horizontal="center" vertical="center" wrapText="1"/>
    </xf>
    <xf numFmtId="14" fontId="5" fillId="3" borderId="2" xfId="0" applyNumberFormat="1" applyFont="1" applyFill="1" applyBorder="1" applyAlignment="1">
      <alignment horizontal="center" vertical="center" wrapText="1"/>
    </xf>
    <xf numFmtId="0" fontId="2" fillId="0" borderId="0" xfId="2"/>
    <xf numFmtId="0" fontId="18" fillId="0" borderId="8" xfId="2" applyFont="1" applyBorder="1" applyAlignment="1">
      <alignment horizontal="left" vertical="center" wrapText="1" indent="2"/>
    </xf>
    <xf numFmtId="0" fontId="15" fillId="0" borderId="0" xfId="0" applyFont="1" applyAlignment="1">
      <alignment vertical="center"/>
    </xf>
    <xf numFmtId="164" fontId="13" fillId="0" borderId="2" xfId="0" applyNumberFormat="1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  <xf numFmtId="0" fontId="12" fillId="0" borderId="0" xfId="0" applyFont="1" applyAlignment="1">
      <alignment horizontal="right" vertical="center" indent="1"/>
    </xf>
    <xf numFmtId="165" fontId="14" fillId="6" borderId="2" xfId="1" applyNumberFormat="1" applyFont="1" applyFill="1" applyBorder="1" applyAlignment="1">
      <alignment vertical="center" wrapText="1"/>
    </xf>
    <xf numFmtId="165" fontId="13" fillId="0" borderId="1" xfId="1" applyNumberFormat="1" applyFont="1" applyBorder="1" applyAlignment="1">
      <alignment vertical="center" wrapText="1"/>
    </xf>
    <xf numFmtId="165" fontId="14" fillId="6" borderId="1" xfId="1" applyNumberFormat="1" applyFont="1" applyFill="1" applyBorder="1" applyAlignment="1">
      <alignment vertical="center" wrapText="1"/>
    </xf>
    <xf numFmtId="165" fontId="13" fillId="6" borderId="1" xfId="1" applyNumberFormat="1" applyFont="1" applyFill="1" applyBorder="1" applyAlignment="1">
      <alignment vertical="center" wrapText="1"/>
    </xf>
    <xf numFmtId="165" fontId="14" fillId="7" borderId="1" xfId="1" applyNumberFormat="1" applyFont="1" applyFill="1" applyBorder="1" applyAlignment="1">
      <alignment vertical="center" wrapText="1"/>
    </xf>
    <xf numFmtId="165" fontId="13" fillId="3" borderId="1" xfId="1" applyNumberFormat="1" applyFont="1" applyFill="1" applyBorder="1" applyAlignment="1">
      <alignment vertical="center" wrapText="1"/>
    </xf>
    <xf numFmtId="165" fontId="7" fillId="6" borderId="1" xfId="1" applyNumberFormat="1" applyFont="1" applyFill="1" applyBorder="1" applyAlignment="1">
      <alignment vertical="center"/>
    </xf>
    <xf numFmtId="165" fontId="14" fillId="6" borderId="1" xfId="1" applyNumberFormat="1" applyFont="1" applyFill="1" applyBorder="1" applyAlignment="1">
      <alignment vertical="center"/>
    </xf>
    <xf numFmtId="165" fontId="7" fillId="3" borderId="1" xfId="1" applyNumberFormat="1" applyFont="1" applyFill="1" applyBorder="1" applyAlignment="1">
      <alignment vertical="center"/>
    </xf>
    <xf numFmtId="165" fontId="7" fillId="7" borderId="1" xfId="1" applyNumberFormat="1" applyFont="1" applyFill="1" applyBorder="1" applyAlignment="1">
      <alignment vertical="center"/>
    </xf>
    <xf numFmtId="165" fontId="14" fillId="7" borderId="1" xfId="1" applyNumberFormat="1" applyFont="1" applyFill="1" applyBorder="1" applyAlignment="1">
      <alignment vertical="center"/>
    </xf>
    <xf numFmtId="165" fontId="7" fillId="4" borderId="1" xfId="1" applyNumberFormat="1" applyFont="1" applyFill="1" applyBorder="1" applyAlignment="1">
      <alignment vertical="center"/>
    </xf>
    <xf numFmtId="165" fontId="7" fillId="7" borderId="2" xfId="1" applyNumberFormat="1" applyFont="1" applyFill="1" applyBorder="1" applyAlignment="1">
      <alignment vertical="center"/>
    </xf>
    <xf numFmtId="165" fontId="14" fillId="7" borderId="2" xfId="1" applyNumberFormat="1" applyFont="1" applyFill="1" applyBorder="1" applyAlignment="1">
      <alignment vertical="center"/>
    </xf>
    <xf numFmtId="165" fontId="7" fillId="4" borderId="2" xfId="1" applyNumberFormat="1" applyFont="1" applyFill="1" applyBorder="1" applyAlignment="1">
      <alignment vertical="center"/>
    </xf>
    <xf numFmtId="165" fontId="14" fillId="5" borderId="9" xfId="1" applyNumberFormat="1" applyFont="1" applyFill="1" applyBorder="1" applyAlignment="1">
      <alignment vertical="center"/>
    </xf>
    <xf numFmtId="165" fontId="14" fillId="4" borderId="9" xfId="1" applyNumberFormat="1" applyFont="1" applyFill="1" applyBorder="1" applyAlignment="1">
      <alignment vertical="center"/>
    </xf>
    <xf numFmtId="0" fontId="0" fillId="0" borderId="0" xfId="0"/>
    <xf numFmtId="0" fontId="20" fillId="8" borderId="0" xfId="3" applyFont="1" applyFill="1" applyAlignment="1">
      <alignment horizontal="center" vertical="center"/>
    </xf>
    <xf numFmtId="0" fontId="13" fillId="0" borderId="2" xfId="0" applyFont="1" applyBorder="1" applyAlignment="1">
      <alignment horizontal="left" vertical="center" indent="1"/>
    </xf>
    <xf numFmtId="0" fontId="0" fillId="0" borderId="4" xfId="0" applyBorder="1"/>
    <xf numFmtId="0" fontId="0" fillId="0" borderId="5" xfId="0" applyBorder="1"/>
    <xf numFmtId="0" fontId="13" fillId="0" borderId="10" xfId="0" applyFont="1" applyBorder="1" applyAlignment="1">
      <alignment horizontal="left" vertical="center" wrapText="1" indent="1"/>
    </xf>
    <xf numFmtId="0" fontId="0" fillId="0" borderId="6" xfId="0" applyBorder="1"/>
    <xf numFmtId="0" fontId="0" fillId="0" borderId="7" xfId="0" applyBorder="1"/>
    <xf numFmtId="0" fontId="13" fillId="0" borderId="3" xfId="0" applyFont="1" applyBorder="1" applyAlignment="1">
      <alignment horizontal="left" vertical="center" indent="1"/>
    </xf>
    <xf numFmtId="0" fontId="13" fillId="0" borderId="5" xfId="0" applyFont="1" applyBorder="1" applyAlignment="1">
      <alignment horizontal="left" vertical="center" wrapText="1" indent="1"/>
    </xf>
    <xf numFmtId="0" fontId="12" fillId="0" borderId="0" xfId="0" applyFont="1" applyAlignment="1">
      <alignment horizontal="right" vertical="center" indent="1"/>
    </xf>
    <xf numFmtId="0" fontId="1" fillId="0" borderId="0" xfId="0" applyFont="1"/>
    <xf numFmtId="0" fontId="12" fillId="0" borderId="0" xfId="0" applyFont="1" applyAlignment="1">
      <alignment horizontal="left" vertical="center"/>
    </xf>
  </cellXfs>
  <cellStyles count="4">
    <cellStyle name="Collegamento ipertestuale" xfId="3" builtinId="8"/>
    <cellStyle name="Normal 2" xfId="2" xr:uid="{00000000-0005-0000-0000-000002000000}"/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externalLink" Target="externalLinks/externalLink1.xml" 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t.smartsheet.com/try-it?trp=37129&amp;utm_language=IT&amp;utm_source=integrated+content&amp;utm_campaign=/top-excel-accounting-templates&amp;utm_medium=ic+accounts+receivable+37129+it&amp;lpa=ic+accounts+receivable+37129+it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  <pageSetUpPr fitToPage="1"/>
  </sheetPr>
  <dimension ref="A1:U89"/>
  <sheetViews>
    <sheetView showGridLines="0" topLeftCell="D1" workbookViewId="0">
      <selection activeCell="B29" sqref="B29:H29"/>
    </sheetView>
  </sheetViews>
  <sheetFormatPr defaultColWidth="8.875" defaultRowHeight="15" x14ac:dyDescent="0.2"/>
  <cols>
    <col min="1" max="1" width="3.765625" customWidth="1"/>
    <col min="2" max="3" width="15.87109375" customWidth="1"/>
    <col min="4" max="4" width="26.36328125" customWidth="1"/>
    <col min="5" max="5" width="15.6015625" style="47" customWidth="1"/>
    <col min="6" max="13" width="15.87109375" customWidth="1"/>
    <col min="14" max="20" width="12.77734375" customWidth="1"/>
    <col min="21" max="21" width="3.765625" customWidth="1"/>
  </cols>
  <sheetData>
    <row r="1" spans="1:21" ht="50.1" customHeight="1" x14ac:dyDescent="0.2"/>
    <row r="2" spans="1:21" ht="42" customHeight="1" x14ac:dyDescent="0.2">
      <c r="A2" s="6"/>
      <c r="B2" s="7" t="s">
        <v>0</v>
      </c>
    </row>
    <row r="3" spans="1:21" s="11" customFormat="1" ht="30" customHeight="1" x14ac:dyDescent="0.15">
      <c r="B3" s="8" t="s">
        <v>1</v>
      </c>
      <c r="C3" s="9"/>
      <c r="D3" s="9"/>
      <c r="E3" s="9"/>
      <c r="F3" s="10"/>
      <c r="G3" s="10"/>
    </row>
    <row r="4" spans="1:21" s="38" customFormat="1" ht="15" customHeight="1" x14ac:dyDescent="0.2">
      <c r="B4" s="20" t="s">
        <v>2</v>
      </c>
      <c r="C4" s="20"/>
      <c r="D4" s="20"/>
      <c r="E4" s="20"/>
      <c r="F4" s="20"/>
      <c r="G4" s="20"/>
      <c r="H4" s="21" t="s">
        <v>3</v>
      </c>
      <c r="I4" s="21" t="s">
        <v>4</v>
      </c>
      <c r="J4" s="20" t="s">
        <v>5</v>
      </c>
    </row>
    <row r="5" spans="1:21" s="3" customFormat="1" ht="35.1" customHeight="1" thickBot="1" x14ac:dyDescent="0.25">
      <c r="B5" s="68"/>
      <c r="C5" s="69"/>
      <c r="D5" s="69"/>
      <c r="E5" s="69"/>
      <c r="F5" s="69"/>
      <c r="G5" s="70"/>
      <c r="H5" s="49">
        <f>SUM(H8:H26)</f>
        <v>0</v>
      </c>
      <c r="I5" s="39">
        <f ca="1">TODAY()</f>
        <v>45322</v>
      </c>
      <c r="J5" s="71"/>
      <c r="K5" s="72"/>
      <c r="L5" s="72"/>
      <c r="M5" s="72"/>
      <c r="N5" s="72"/>
      <c r="O5" s="72"/>
      <c r="P5" s="72"/>
      <c r="Q5" s="72"/>
      <c r="R5" s="72"/>
      <c r="S5" s="72"/>
      <c r="T5" s="73"/>
      <c r="U5" s="4"/>
    </row>
    <row r="6" spans="1:21" ht="24.95" customHeight="1" x14ac:dyDescent="0.2">
      <c r="B6" s="5" t="s">
        <v>6</v>
      </c>
    </row>
    <row r="7" spans="1:21" ht="20.100000000000001" customHeight="1" x14ac:dyDescent="0.2">
      <c r="B7" s="12" t="s">
        <v>7</v>
      </c>
      <c r="C7" s="12" t="s">
        <v>8</v>
      </c>
      <c r="D7" s="12" t="s">
        <v>9</v>
      </c>
      <c r="E7" s="12" t="s">
        <v>10</v>
      </c>
      <c r="F7" s="12" t="s">
        <v>11</v>
      </c>
      <c r="G7" s="12" t="s">
        <v>12</v>
      </c>
      <c r="H7" s="12" t="s">
        <v>13</v>
      </c>
      <c r="I7" s="13" t="s">
        <v>14</v>
      </c>
      <c r="J7" s="13" t="s">
        <v>15</v>
      </c>
      <c r="K7" s="13" t="s">
        <v>16</v>
      </c>
      <c r="L7" s="13" t="s">
        <v>17</v>
      </c>
      <c r="M7" s="13" t="s">
        <v>18</v>
      </c>
      <c r="N7" s="13" t="s">
        <v>19</v>
      </c>
      <c r="O7" s="13" t="s">
        <v>20</v>
      </c>
      <c r="P7" s="13" t="s">
        <v>21</v>
      </c>
      <c r="Q7" s="13" t="s">
        <v>22</v>
      </c>
      <c r="R7" s="13" t="s">
        <v>23</v>
      </c>
      <c r="S7" s="13" t="s">
        <v>24</v>
      </c>
      <c r="T7" s="13" t="s">
        <v>25</v>
      </c>
    </row>
    <row r="8" spans="1:21" ht="21.95" customHeight="1" x14ac:dyDescent="0.2">
      <c r="B8" s="14"/>
      <c r="C8" s="15"/>
      <c r="D8" s="15"/>
      <c r="E8" s="16"/>
      <c r="F8" s="50"/>
      <c r="G8" s="14"/>
      <c r="H8" s="51">
        <f>F8-SUM(I8:T8)</f>
        <v>0</v>
      </c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</row>
    <row r="9" spans="1:21" ht="21.95" customHeight="1" x14ac:dyDescent="0.2">
      <c r="B9" s="17"/>
      <c r="C9" s="18"/>
      <c r="D9" s="18"/>
      <c r="E9" s="19"/>
      <c r="F9" s="52"/>
      <c r="G9" s="17"/>
      <c r="H9" s="53">
        <f>F9-SUM(I9:T9)</f>
        <v>0</v>
      </c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1" ht="21.95" customHeight="1" x14ac:dyDescent="0.2">
      <c r="B10" s="14"/>
      <c r="C10" s="15"/>
      <c r="D10" s="15"/>
      <c r="E10" s="16"/>
      <c r="F10" s="50"/>
      <c r="G10" s="14"/>
      <c r="H10" s="51">
        <f>F10-SUM(I10:T10)</f>
        <v>0</v>
      </c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</row>
    <row r="11" spans="1:21" ht="21.95" customHeight="1" x14ac:dyDescent="0.2">
      <c r="B11" s="17"/>
      <c r="C11" s="18"/>
      <c r="D11" s="18"/>
      <c r="E11" s="19"/>
      <c r="F11" s="52"/>
      <c r="G11" s="17"/>
      <c r="H11" s="53">
        <f>F11-SUM(I11:T11)</f>
        <v>0</v>
      </c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</row>
    <row r="12" spans="1:21" ht="21.95" customHeight="1" x14ac:dyDescent="0.2">
      <c r="B12" s="14"/>
      <c r="C12" s="15"/>
      <c r="D12" s="15"/>
      <c r="E12" s="16"/>
      <c r="F12" s="50"/>
      <c r="G12" s="14"/>
      <c r="H12" s="51">
        <f>F12-SUM(I12:T12)</f>
        <v>0</v>
      </c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</row>
    <row r="13" spans="1:21" ht="21.95" customHeight="1" x14ac:dyDescent="0.2">
      <c r="B13" s="17"/>
      <c r="C13" s="18"/>
      <c r="D13" s="18"/>
      <c r="E13" s="19"/>
      <c r="F13" s="52"/>
      <c r="G13" s="17"/>
      <c r="H13" s="53">
        <f>F13-SUM(I13:T13)</f>
        <v>0</v>
      </c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</row>
    <row r="14" spans="1:21" ht="21.95" customHeight="1" x14ac:dyDescent="0.2">
      <c r="B14" s="14"/>
      <c r="C14" s="15"/>
      <c r="D14" s="15"/>
      <c r="E14" s="16"/>
      <c r="F14" s="50"/>
      <c r="G14" s="14"/>
      <c r="H14" s="51">
        <f>F14-SUM(I14:T14)</f>
        <v>0</v>
      </c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</row>
    <row r="15" spans="1:21" ht="21.95" customHeight="1" x14ac:dyDescent="0.2">
      <c r="B15" s="17"/>
      <c r="C15" s="18"/>
      <c r="D15" s="18"/>
      <c r="E15" s="19"/>
      <c r="F15" s="52"/>
      <c r="G15" s="17"/>
      <c r="H15" s="53">
        <f>F15-SUM(I15:T15)</f>
        <v>0</v>
      </c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</row>
    <row r="16" spans="1:21" ht="21.95" customHeight="1" x14ac:dyDescent="0.2">
      <c r="B16" s="14"/>
      <c r="C16" s="15"/>
      <c r="D16" s="15"/>
      <c r="E16" s="16"/>
      <c r="F16" s="50"/>
      <c r="G16" s="14"/>
      <c r="H16" s="51">
        <f>F16-SUM(I16:T16)</f>
        <v>0</v>
      </c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</row>
    <row r="17" spans="2:20" ht="21.95" customHeight="1" x14ac:dyDescent="0.2">
      <c r="B17" s="17"/>
      <c r="C17" s="18"/>
      <c r="D17" s="18"/>
      <c r="E17" s="19"/>
      <c r="F17" s="52"/>
      <c r="G17" s="17"/>
      <c r="H17" s="53">
        <f>F17-SUM(I17:T17)</f>
        <v>0</v>
      </c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</row>
    <row r="18" spans="2:20" ht="21.95" customHeight="1" x14ac:dyDescent="0.2">
      <c r="B18" s="14"/>
      <c r="C18" s="15"/>
      <c r="D18" s="15"/>
      <c r="E18" s="16"/>
      <c r="F18" s="50"/>
      <c r="G18" s="14"/>
      <c r="H18" s="51">
        <f>F18-SUM(I18:T18)</f>
        <v>0</v>
      </c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</row>
    <row r="19" spans="2:20" ht="21.95" customHeight="1" x14ac:dyDescent="0.2">
      <c r="B19" s="17"/>
      <c r="C19" s="18"/>
      <c r="D19" s="18"/>
      <c r="E19" s="19"/>
      <c r="F19" s="52"/>
      <c r="G19" s="17"/>
      <c r="H19" s="53">
        <f>F19-SUM(I19:T19)</f>
        <v>0</v>
      </c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2:20" ht="21.95" customHeight="1" x14ac:dyDescent="0.2">
      <c r="B20" s="14"/>
      <c r="C20" s="15"/>
      <c r="D20" s="15"/>
      <c r="E20" s="16"/>
      <c r="F20" s="50"/>
      <c r="G20" s="14"/>
      <c r="H20" s="51">
        <f>F20-SUM(I20:T20)</f>
        <v>0</v>
      </c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</row>
    <row r="21" spans="2:20" ht="21.95" customHeight="1" x14ac:dyDescent="0.2">
      <c r="B21" s="17"/>
      <c r="C21" s="18"/>
      <c r="D21" s="18"/>
      <c r="E21" s="19"/>
      <c r="F21" s="52"/>
      <c r="G21" s="17"/>
      <c r="H21" s="53">
        <f>F21-SUM(I21:T21)</f>
        <v>0</v>
      </c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2:20" ht="21.95" customHeight="1" x14ac:dyDescent="0.2">
      <c r="B22" s="14"/>
      <c r="C22" s="15"/>
      <c r="D22" s="15"/>
      <c r="E22" s="16"/>
      <c r="F22" s="50"/>
      <c r="G22" s="14"/>
      <c r="H22" s="51">
        <f>F22-SUM(I22:T22)</f>
        <v>0</v>
      </c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</row>
    <row r="23" spans="2:20" ht="21.95" customHeight="1" x14ac:dyDescent="0.2">
      <c r="B23" s="17"/>
      <c r="C23" s="18"/>
      <c r="D23" s="18"/>
      <c r="E23" s="19"/>
      <c r="F23" s="52"/>
      <c r="G23" s="17"/>
      <c r="H23" s="53">
        <f>F23-SUM(I23:T23)</f>
        <v>0</v>
      </c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</row>
    <row r="24" spans="2:20" ht="21.95" customHeight="1" x14ac:dyDescent="0.2">
      <c r="B24" s="14"/>
      <c r="C24" s="15"/>
      <c r="D24" s="15"/>
      <c r="E24" s="16"/>
      <c r="F24" s="50"/>
      <c r="G24" s="14"/>
      <c r="H24" s="51">
        <f>F24-SUM(I24:T24)</f>
        <v>0</v>
      </c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</row>
    <row r="25" spans="2:20" ht="21.95" customHeight="1" x14ac:dyDescent="0.2">
      <c r="B25" s="17"/>
      <c r="C25" s="18"/>
      <c r="D25" s="18"/>
      <c r="E25" s="19"/>
      <c r="F25" s="52"/>
      <c r="G25" s="17"/>
      <c r="H25" s="53">
        <f>F25-SUM(I25:T25)</f>
        <v>0</v>
      </c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</row>
    <row r="26" spans="2:20" ht="21.95" customHeight="1" x14ac:dyDescent="0.2">
      <c r="B26" s="14"/>
      <c r="C26" s="15"/>
      <c r="D26" s="15"/>
      <c r="E26" s="16"/>
      <c r="F26" s="50"/>
      <c r="G26" s="14"/>
      <c r="H26" s="51">
        <f>F26-SUM(I26:T26)</f>
        <v>0</v>
      </c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</row>
    <row r="27" spans="2:20" ht="21.95" customHeight="1" x14ac:dyDescent="0.2">
      <c r="B27" s="17"/>
      <c r="C27" s="18"/>
      <c r="D27" s="18"/>
      <c r="E27" s="19"/>
      <c r="F27" s="52"/>
      <c r="G27" s="17"/>
      <c r="H27" s="53">
        <f>F27-SUM(I27:T27)</f>
        <v>0</v>
      </c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</row>
    <row r="29" spans="2:20" ht="50.1" customHeight="1" x14ac:dyDescent="0.2">
      <c r="B29" s="67" t="s">
        <v>26</v>
      </c>
      <c r="C29" s="66"/>
      <c r="D29" s="66"/>
      <c r="E29" s="1"/>
      <c r="F29" s="66"/>
      <c r="G29" s="66"/>
      <c r="H29" s="66"/>
    </row>
    <row r="31" spans="2:20" x14ac:dyDescent="0.2">
      <c r="E31" s="45"/>
    </row>
    <row r="32" spans="2:20" x14ac:dyDescent="0.2">
      <c r="E32" s="45"/>
    </row>
    <row r="33" spans="3:12" x14ac:dyDescent="0.2">
      <c r="C33" s="1"/>
      <c r="D33" s="66"/>
      <c r="E33" s="1"/>
      <c r="F33" s="66"/>
      <c r="G33" s="66"/>
      <c r="H33" s="66"/>
      <c r="I33" s="66"/>
      <c r="J33" s="66"/>
      <c r="K33" s="66"/>
      <c r="L33" s="66"/>
    </row>
    <row r="34" spans="3:12" x14ac:dyDescent="0.2">
      <c r="E34" s="45"/>
    </row>
    <row r="35" spans="3:12" x14ac:dyDescent="0.2">
      <c r="E35" s="45"/>
    </row>
    <row r="36" spans="3:12" x14ac:dyDescent="0.2">
      <c r="E36" s="45"/>
    </row>
    <row r="37" spans="3:12" x14ac:dyDescent="0.2">
      <c r="E37" s="45"/>
    </row>
    <row r="38" spans="3:12" x14ac:dyDescent="0.2">
      <c r="E38" s="45"/>
    </row>
    <row r="39" spans="3:12" x14ac:dyDescent="0.2">
      <c r="E39" s="45"/>
    </row>
    <row r="40" spans="3:12" x14ac:dyDescent="0.2">
      <c r="E40" s="45"/>
    </row>
    <row r="41" spans="3:12" x14ac:dyDescent="0.2">
      <c r="E41" s="45"/>
    </row>
    <row r="42" spans="3:12" x14ac:dyDescent="0.2">
      <c r="E42" s="45"/>
    </row>
    <row r="43" spans="3:12" x14ac:dyDescent="0.2">
      <c r="E43" s="45"/>
    </row>
    <row r="44" spans="3:12" x14ac:dyDescent="0.2">
      <c r="E44" s="45"/>
    </row>
    <row r="45" spans="3:12" x14ac:dyDescent="0.2">
      <c r="E45" s="45"/>
    </row>
    <row r="46" spans="3:12" x14ac:dyDescent="0.2">
      <c r="E46" s="45"/>
    </row>
    <row r="47" spans="3:12" x14ac:dyDescent="0.2">
      <c r="E47" s="45"/>
    </row>
    <row r="48" spans="3:12" x14ac:dyDescent="0.2">
      <c r="E48" s="45"/>
    </row>
    <row r="49" spans="5:5" x14ac:dyDescent="0.2">
      <c r="E49" s="45"/>
    </row>
    <row r="50" spans="5:5" x14ac:dyDescent="0.2">
      <c r="E50" s="45"/>
    </row>
    <row r="51" spans="5:5" x14ac:dyDescent="0.2">
      <c r="E51" s="45"/>
    </row>
    <row r="52" spans="5:5" x14ac:dyDescent="0.2">
      <c r="E52" s="45"/>
    </row>
    <row r="53" spans="5:5" x14ac:dyDescent="0.2">
      <c r="E53" s="45"/>
    </row>
    <row r="54" spans="5:5" x14ac:dyDescent="0.2">
      <c r="E54" s="45"/>
    </row>
    <row r="55" spans="5:5" x14ac:dyDescent="0.2">
      <c r="E55" s="45"/>
    </row>
    <row r="56" spans="5:5" x14ac:dyDescent="0.2">
      <c r="E56" s="45"/>
    </row>
    <row r="57" spans="5:5" x14ac:dyDescent="0.2">
      <c r="E57" s="45"/>
    </row>
    <row r="58" spans="5:5" x14ac:dyDescent="0.2">
      <c r="E58" s="45"/>
    </row>
    <row r="59" spans="5:5" x14ac:dyDescent="0.2">
      <c r="E59" s="45"/>
    </row>
    <row r="60" spans="5:5" x14ac:dyDescent="0.2">
      <c r="E60" s="45"/>
    </row>
    <row r="61" spans="5:5" x14ac:dyDescent="0.2">
      <c r="E61" s="45"/>
    </row>
    <row r="62" spans="5:5" x14ac:dyDescent="0.2">
      <c r="E62" s="45"/>
    </row>
    <row r="63" spans="5:5" x14ac:dyDescent="0.2">
      <c r="E63" s="45"/>
    </row>
    <row r="64" spans="5:5" x14ac:dyDescent="0.2">
      <c r="E64" s="45"/>
    </row>
    <row r="65" spans="5:5" x14ac:dyDescent="0.2">
      <c r="E65" s="45"/>
    </row>
    <row r="66" spans="5:5" x14ac:dyDescent="0.2">
      <c r="E66" s="45"/>
    </row>
    <row r="67" spans="5:5" x14ac:dyDescent="0.2">
      <c r="E67" s="45"/>
    </row>
    <row r="68" spans="5:5" x14ac:dyDescent="0.2">
      <c r="E68" s="45"/>
    </row>
    <row r="69" spans="5:5" x14ac:dyDescent="0.2">
      <c r="E69" s="45"/>
    </row>
    <row r="70" spans="5:5" x14ac:dyDescent="0.2">
      <c r="E70" s="45"/>
    </row>
    <row r="71" spans="5:5" x14ac:dyDescent="0.2">
      <c r="E71" s="45"/>
    </row>
    <row r="72" spans="5:5" x14ac:dyDescent="0.2">
      <c r="E72" s="45"/>
    </row>
    <row r="73" spans="5:5" x14ac:dyDescent="0.2">
      <c r="E73" s="45"/>
    </row>
    <row r="74" spans="5:5" x14ac:dyDescent="0.2">
      <c r="E74" s="45"/>
    </row>
    <row r="75" spans="5:5" x14ac:dyDescent="0.2">
      <c r="E75" s="45"/>
    </row>
    <row r="76" spans="5:5" x14ac:dyDescent="0.2">
      <c r="E76" s="45"/>
    </row>
    <row r="77" spans="5:5" x14ac:dyDescent="0.2">
      <c r="E77" s="45"/>
    </row>
    <row r="78" spans="5:5" x14ac:dyDescent="0.2">
      <c r="E78" s="45"/>
    </row>
    <row r="79" spans="5:5" x14ac:dyDescent="0.2">
      <c r="E79" s="45"/>
    </row>
    <row r="80" spans="5:5" x14ac:dyDescent="0.2">
      <c r="E80" s="45"/>
    </row>
    <row r="81" spans="5:5" x14ac:dyDescent="0.2">
      <c r="E81" s="45"/>
    </row>
    <row r="82" spans="5:5" x14ac:dyDescent="0.2">
      <c r="E82" s="45"/>
    </row>
    <row r="83" spans="5:5" x14ac:dyDescent="0.2">
      <c r="E83" s="45"/>
    </row>
    <row r="84" spans="5:5" x14ac:dyDescent="0.2">
      <c r="E84" s="45"/>
    </row>
    <row r="85" spans="5:5" x14ac:dyDescent="0.2">
      <c r="E85" s="45"/>
    </row>
    <row r="86" spans="5:5" x14ac:dyDescent="0.2">
      <c r="E86" s="45"/>
    </row>
    <row r="87" spans="5:5" x14ac:dyDescent="0.2">
      <c r="E87" s="45"/>
    </row>
    <row r="88" spans="5:5" x14ac:dyDescent="0.2">
      <c r="E88" s="45"/>
    </row>
    <row r="89" spans="5:5" x14ac:dyDescent="0.2">
      <c r="E89" s="45"/>
    </row>
  </sheetData>
  <mergeCells count="4">
    <mergeCell ref="C33:L33"/>
    <mergeCell ref="B29:H29"/>
    <mergeCell ref="B5:G5"/>
    <mergeCell ref="J5:T5"/>
  </mergeCells>
  <hyperlinks>
    <hyperlink ref="B29" r:id="rId1" xr:uid="{00000000-0004-0000-0000-000000000000}"/>
  </hyperlinks>
  <pageMargins left="0.25" right="0.25" top="0.25" bottom="0.25" header="0" footer="0"/>
  <pageSetup paperSize="3" scale="68" fitToHeight="0" orientation="landscape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9998168889431442"/>
    <pageSetUpPr fitToPage="1"/>
  </sheetPr>
  <dimension ref="A1:T139"/>
  <sheetViews>
    <sheetView showGridLines="0" workbookViewId="0">
      <selection activeCell="H36" sqref="H36"/>
    </sheetView>
  </sheetViews>
  <sheetFormatPr defaultColWidth="8.875" defaultRowHeight="15" x14ac:dyDescent="0.2"/>
  <cols>
    <col min="1" max="1" width="3.765625" customWidth="1"/>
    <col min="2" max="3" width="15.87109375" style="47" customWidth="1"/>
    <col min="4" max="4" width="26.36328125" customWidth="1"/>
    <col min="5" max="5" width="16.8125" customWidth="1"/>
    <col min="6" max="13" width="15.87109375" customWidth="1"/>
    <col min="14" max="14" width="3.765625" customWidth="1"/>
  </cols>
  <sheetData>
    <row r="1" spans="1:20" ht="42" customHeight="1" x14ac:dyDescent="0.2">
      <c r="A1" s="6"/>
      <c r="B1" s="7" t="s">
        <v>0</v>
      </c>
    </row>
    <row r="2" spans="1:20" s="37" customFormat="1" ht="30" customHeight="1" x14ac:dyDescent="0.2">
      <c r="B2" s="8" t="s">
        <v>27</v>
      </c>
      <c r="C2" s="34"/>
      <c r="D2" s="34"/>
      <c r="E2" s="35"/>
      <c r="F2" s="36"/>
    </row>
    <row r="3" spans="1:20" s="38" customFormat="1" ht="15" customHeight="1" x14ac:dyDescent="0.2">
      <c r="B3" s="20" t="s">
        <v>2</v>
      </c>
      <c r="C3" s="20"/>
      <c r="D3" s="20"/>
      <c r="E3" s="20"/>
      <c r="F3" s="20"/>
      <c r="G3" s="20"/>
      <c r="H3" s="21" t="s">
        <v>4</v>
      </c>
      <c r="I3" s="20" t="s">
        <v>5</v>
      </c>
    </row>
    <row r="4" spans="1:20" s="3" customFormat="1" ht="35.1" customHeight="1" thickBot="1" x14ac:dyDescent="0.25">
      <c r="B4" s="74"/>
      <c r="C4" s="69"/>
      <c r="D4" s="69"/>
      <c r="E4" s="69"/>
      <c r="F4" s="69"/>
      <c r="G4" s="69"/>
      <c r="H4" s="40">
        <f ca="1">TODAY()</f>
        <v>45322</v>
      </c>
      <c r="I4" s="75"/>
      <c r="J4" s="69"/>
      <c r="K4" s="69"/>
      <c r="L4" s="69"/>
      <c r="M4" s="70"/>
      <c r="T4" s="4"/>
    </row>
    <row r="5" spans="1:20" ht="24.95" customHeight="1" x14ac:dyDescent="0.2">
      <c r="B5" s="5" t="s">
        <v>6</v>
      </c>
    </row>
    <row r="6" spans="1:20" s="2" customFormat="1" ht="20.100000000000001" customHeight="1" x14ac:dyDescent="0.2">
      <c r="B6" s="12" t="s">
        <v>7</v>
      </c>
      <c r="C6" s="12" t="s">
        <v>8</v>
      </c>
      <c r="D6" s="12" t="s">
        <v>9</v>
      </c>
      <c r="E6" s="12" t="s">
        <v>10</v>
      </c>
      <c r="F6" s="12" t="s">
        <v>11</v>
      </c>
      <c r="G6" s="12" t="s">
        <v>12</v>
      </c>
      <c r="H6" s="12" t="s">
        <v>13</v>
      </c>
      <c r="I6" s="22" t="s">
        <v>28</v>
      </c>
      <c r="J6" s="22" t="s">
        <v>29</v>
      </c>
      <c r="K6" s="22" t="s">
        <v>30</v>
      </c>
      <c r="L6" s="22" t="s">
        <v>31</v>
      </c>
      <c r="M6" s="22" t="s">
        <v>32</v>
      </c>
    </row>
    <row r="7" spans="1:20" ht="21.95" customHeight="1" x14ac:dyDescent="0.2">
      <c r="B7" s="25">
        <f>'Contabilità fornitori'!B8</f>
        <v>0</v>
      </c>
      <c r="C7" s="26">
        <f>'Contabilità fornitori'!C8</f>
        <v>0</v>
      </c>
      <c r="D7" s="26">
        <f>'Contabilità fornitori'!D8</f>
        <v>0</v>
      </c>
      <c r="E7" s="27">
        <f>'Contabilità fornitori'!E8</f>
        <v>0</v>
      </c>
      <c r="F7" s="55">
        <f>'Contabilità fornitori'!F8</f>
        <v>0</v>
      </c>
      <c r="G7" s="25">
        <f>'Contabilità fornitori'!G8</f>
        <v>0</v>
      </c>
      <c r="H7" s="56">
        <f>'Contabilità fornitori'!H8</f>
        <v>0</v>
      </c>
      <c r="I7" s="57" t="str">
        <f ca="1">IFERROR(IF($G7&gt;=$H$4,$H7,""), IF($D7&gt;=$H$4,$H7,""))</f>
        <v/>
      </c>
      <c r="J7" s="57" t="str">
        <f ca="1">IFERROR(IF(AND($H$4-$G7&gt;=1,$H$4-$G7&lt;=30),$H7,""),IF(AND($H$4-$D7&gt;=1,$H$4-$D7&lt;=30),$H7,""))</f>
        <v/>
      </c>
      <c r="K7" s="57" t="str">
        <f ca="1">IFERROR(IF(AND($H$4-$G7&gt;=31,$H$4-$G7&lt;=60),$H7,""),IF(AND($H$4-$D7&gt;=31,$H$4-$D7&lt;=60),$H7,""))</f>
        <v/>
      </c>
      <c r="L7" s="57" t="str">
        <f ca="1">IFERROR(IF(AND($H$4-$G7&gt;=61,$H$4-$G7&lt;=90),$H7,""),IF(AND($H$4-$D7&gt;=61,$H$4-$D7&lt;=90),$H7,""))</f>
        <v/>
      </c>
      <c r="M7" s="57" t="str">
        <f ca="1">IFERROR(IF(AND($G7&gt;0,$H$4-$G7&gt;=91),$H7,""),IF(AND($D7&gt;0,$H$4-$D7&gt;=91),$H7,""))</f>
        <v/>
      </c>
    </row>
    <row r="8" spans="1:20" ht="21.95" customHeight="1" x14ac:dyDescent="0.2">
      <c r="B8" s="28">
        <f>'Contabilità fornitori'!B9</f>
        <v>0</v>
      </c>
      <c r="C8" s="29">
        <f>'Contabilità fornitori'!C9</f>
        <v>0</v>
      </c>
      <c r="D8" s="29">
        <f>'Contabilità fornitori'!D9</f>
        <v>0</v>
      </c>
      <c r="E8" s="30">
        <f>'Contabilità fornitori'!E9</f>
        <v>0</v>
      </c>
      <c r="F8" s="58">
        <f>'Contabilità fornitori'!F9</f>
        <v>0</v>
      </c>
      <c r="G8" s="28">
        <f>'Contabilità fornitori'!G9</f>
        <v>0</v>
      </c>
      <c r="H8" s="59">
        <f>'Contabilità fornitori'!H9</f>
        <v>0</v>
      </c>
      <c r="I8" s="60" t="str">
        <f ca="1">IFERROR(IF($G8&gt;=$H$4,$H8,""), IF($D8&gt;=$H$4,$H8,""))</f>
        <v/>
      </c>
      <c r="J8" s="60" t="str">
        <f ca="1">IFERROR(IF(AND($H$4-$G8&gt;=1,$H$4-$G8&lt;=30),$H8,""),IF(AND($H$4-$D8&gt;=1,$H$4-$D8&lt;=30),$H8,""))</f>
        <v/>
      </c>
      <c r="K8" s="60" t="str">
        <f ca="1">IFERROR(IF(AND($H$4-$G8&gt;=31,$H$4-$G8&lt;=60),$H8,""),IF(AND($H$4-$D8&gt;=31,$H$4-$D8&lt;=60),$H8,""))</f>
        <v/>
      </c>
      <c r="L8" s="60" t="str">
        <f ca="1">IFERROR(IF(AND($H$4-$G8&gt;=61,$H$4-$G8&lt;=90),$H8,""),IF(AND($H$4-$D8&gt;=61,$H$4-$D8&lt;=90),$H8,""))</f>
        <v/>
      </c>
      <c r="M8" s="60" t="str">
        <f ca="1">IFERROR(IF(AND($G8&gt;0,$H$4-$G8&gt;=91),$H8,""),IF(AND($D8&gt;0,$H$4-$D8&gt;=91),$H8,""))</f>
        <v/>
      </c>
    </row>
    <row r="9" spans="1:20" ht="21.95" customHeight="1" x14ac:dyDescent="0.2">
      <c r="B9" s="25">
        <f>'Contabilità fornitori'!B10</f>
        <v>0</v>
      </c>
      <c r="C9" s="26">
        <f>'Contabilità fornitori'!C10</f>
        <v>0</v>
      </c>
      <c r="D9" s="26">
        <f>'Contabilità fornitori'!D10</f>
        <v>0</v>
      </c>
      <c r="E9" s="27">
        <f>'Contabilità fornitori'!E10</f>
        <v>0</v>
      </c>
      <c r="F9" s="55">
        <f>'Contabilità fornitori'!F10</f>
        <v>0</v>
      </c>
      <c r="G9" s="25">
        <f>'Contabilità fornitori'!G10</f>
        <v>0</v>
      </c>
      <c r="H9" s="56">
        <f>'Contabilità fornitori'!H10</f>
        <v>0</v>
      </c>
      <c r="I9" s="57" t="str">
        <f ca="1">IFERROR(IF($G9&gt;=$H$4,$H9,""), IF($D9&gt;=$H$4,$H9,""))</f>
        <v/>
      </c>
      <c r="J9" s="57" t="str">
        <f ca="1">IFERROR(IF(AND($H$4-$G9&gt;=1,$H$4-$G9&lt;=30),$H9,""),IF(AND($H$4-$D9&gt;=1,$H$4-$D9&lt;=30),$H9,""))</f>
        <v/>
      </c>
      <c r="K9" s="57" t="str">
        <f ca="1">IFERROR(IF(AND($H$4-$G9&gt;=31,$H$4-$G9&lt;=60),$H9,""),IF(AND($H$4-$D9&gt;=31,$H$4-$D9&lt;=60),$H9,""))</f>
        <v/>
      </c>
      <c r="L9" s="57" t="str">
        <f ca="1">IFERROR(IF(AND($H$4-$G9&gt;=61,$H$4-$G9&lt;=90),$H9,""),IF(AND($H$4-$D9&gt;=61,$H$4-$D9&lt;=90),$H9,""))</f>
        <v/>
      </c>
      <c r="M9" s="57" t="str">
        <f ca="1">IFERROR(IF(AND($G9&gt;0,$H$4-$G9&gt;=91),$H9,""),IF(AND($D9&gt;0,$H$4-$D9&gt;=91),$H9,""))</f>
        <v/>
      </c>
    </row>
    <row r="10" spans="1:20" ht="21.95" customHeight="1" x14ac:dyDescent="0.2">
      <c r="B10" s="28">
        <f>'Contabilità fornitori'!B11</f>
        <v>0</v>
      </c>
      <c r="C10" s="29">
        <f>'Contabilità fornitori'!C11</f>
        <v>0</v>
      </c>
      <c r="D10" s="29">
        <f>'Contabilità fornitori'!D11</f>
        <v>0</v>
      </c>
      <c r="E10" s="30">
        <f>'Contabilità fornitori'!E11</f>
        <v>0</v>
      </c>
      <c r="F10" s="58">
        <f>'Contabilità fornitori'!F11</f>
        <v>0</v>
      </c>
      <c r="G10" s="28">
        <f>'Contabilità fornitori'!G11</f>
        <v>0</v>
      </c>
      <c r="H10" s="59">
        <f>'Contabilità fornitori'!H11</f>
        <v>0</v>
      </c>
      <c r="I10" s="60" t="str">
        <f ca="1">IFERROR(IF($G10&gt;=$H$4,$H10,""), IF($D10&gt;=$H$4,$H10,""))</f>
        <v/>
      </c>
      <c r="J10" s="60" t="str">
        <f ca="1">IFERROR(IF(AND($H$4-$G10&gt;=1,$H$4-$G10&lt;=30),$H10,""),IF(AND($H$4-$D10&gt;=1,$H$4-$D10&lt;=30),$H10,""))</f>
        <v/>
      </c>
      <c r="K10" s="60" t="str">
        <f ca="1">IFERROR(IF(AND($H$4-$G10&gt;=31,$H$4-$G10&lt;=60),$H10,""),IF(AND($H$4-$D10&gt;=31,$H$4-$D10&lt;=60),$H10,""))</f>
        <v/>
      </c>
      <c r="L10" s="60" t="str">
        <f ca="1">IFERROR(IF(AND($H$4-$G10&gt;=61,$H$4-$G10&lt;=90),$H10,""),IF(AND($H$4-$D10&gt;=61,$H$4-$D10&lt;=90),$H10,""))</f>
        <v/>
      </c>
      <c r="M10" s="60" t="str">
        <f ca="1">IFERROR(IF(AND($G10&gt;0,$H$4-$G10&gt;=91),$H10,""),IF(AND($D10&gt;0,$H$4-$D10&gt;=91),$H10,""))</f>
        <v/>
      </c>
    </row>
    <row r="11" spans="1:20" ht="21.95" customHeight="1" x14ac:dyDescent="0.2">
      <c r="B11" s="25">
        <f>'Contabilità fornitori'!B12</f>
        <v>0</v>
      </c>
      <c r="C11" s="26">
        <f>'Contabilità fornitori'!C12</f>
        <v>0</v>
      </c>
      <c r="D11" s="26">
        <f>'Contabilità fornitori'!D12</f>
        <v>0</v>
      </c>
      <c r="E11" s="27">
        <f>'Contabilità fornitori'!E12</f>
        <v>0</v>
      </c>
      <c r="F11" s="55">
        <f>'Contabilità fornitori'!F12</f>
        <v>0</v>
      </c>
      <c r="G11" s="25">
        <f>'Contabilità fornitori'!G12</f>
        <v>0</v>
      </c>
      <c r="H11" s="56">
        <f>'Contabilità fornitori'!H12</f>
        <v>0</v>
      </c>
      <c r="I11" s="57" t="str">
        <f ca="1">IFERROR(IF($G11&gt;=$H$4,$H11,""), IF($D11&gt;=$H$4,$H11,""))</f>
        <v/>
      </c>
      <c r="J11" s="57" t="str">
        <f ca="1">IFERROR(IF(AND($H$4-$G11&gt;=1,$H$4-$G11&lt;=30),$H11,""),IF(AND($H$4-$D11&gt;=1,$H$4-$D11&lt;=30),$H11,""))</f>
        <v/>
      </c>
      <c r="K11" s="57" t="str">
        <f ca="1">IFERROR(IF(AND($H$4-$G11&gt;=31,$H$4-$G11&lt;=60),$H11,""),IF(AND($H$4-$D11&gt;=31,$H$4-$D11&lt;=60),$H11,""))</f>
        <v/>
      </c>
      <c r="L11" s="57" t="str">
        <f ca="1">IFERROR(IF(AND($H$4-$G11&gt;=61,$H$4-$G11&lt;=90),$H11,""),IF(AND($H$4-$D11&gt;=61,$H$4-$D11&lt;=90),$H11,""))</f>
        <v/>
      </c>
      <c r="M11" s="57" t="str">
        <f ca="1">IFERROR(IF(AND($G11&gt;0,$H$4-$G11&gt;=91),$H11,""),IF(AND($D11&gt;0,$H$4-$D11&gt;=91),$H11,""))</f>
        <v/>
      </c>
    </row>
    <row r="12" spans="1:20" ht="21.95" customHeight="1" x14ac:dyDescent="0.2">
      <c r="B12" s="28">
        <f>'Contabilità fornitori'!B13</f>
        <v>0</v>
      </c>
      <c r="C12" s="29">
        <f>'Contabilità fornitori'!C13</f>
        <v>0</v>
      </c>
      <c r="D12" s="29">
        <f>'Contabilità fornitori'!D13</f>
        <v>0</v>
      </c>
      <c r="E12" s="30">
        <f>'Contabilità fornitori'!E13</f>
        <v>0</v>
      </c>
      <c r="F12" s="58">
        <f>'Contabilità fornitori'!F13</f>
        <v>0</v>
      </c>
      <c r="G12" s="28">
        <f>'Contabilità fornitori'!G13</f>
        <v>0</v>
      </c>
      <c r="H12" s="59">
        <f>'Contabilità fornitori'!H13</f>
        <v>0</v>
      </c>
      <c r="I12" s="60" t="str">
        <f ca="1">IFERROR(IF($G12&gt;=$H$4,$H12,""), IF($D12&gt;=$H$4,$H12,""))</f>
        <v/>
      </c>
      <c r="J12" s="60" t="str">
        <f ca="1">IFERROR(IF(AND($H$4-$G12&gt;=1,$H$4-$G12&lt;=30),$H12,""),IF(AND($H$4-$D12&gt;=1,$H$4-$D12&lt;=30),$H12,""))</f>
        <v/>
      </c>
      <c r="K12" s="60" t="str">
        <f ca="1">IFERROR(IF(AND($H$4-$G12&gt;=31,$H$4-$G12&lt;=60),$H12,""),IF(AND($H$4-$D12&gt;=31,$H$4-$D12&lt;=60),$H12,""))</f>
        <v/>
      </c>
      <c r="L12" s="60" t="str">
        <f ca="1">IFERROR(IF(AND($H$4-$G12&gt;=61,$H$4-$G12&lt;=90),$H12,""),IF(AND($H$4-$D12&gt;=61,$H$4-$D12&lt;=90),$H12,""))</f>
        <v/>
      </c>
      <c r="M12" s="60" t="str">
        <f ca="1">IFERROR(IF(AND($G12&gt;0,$H$4-$G12&gt;=91),$H12,""),IF(AND($D12&gt;0,$H$4-$D12&gt;=91),$H12,""))</f>
        <v/>
      </c>
    </row>
    <row r="13" spans="1:20" ht="21.95" customHeight="1" x14ac:dyDescent="0.2">
      <c r="B13" s="25">
        <f>'Contabilità fornitori'!B14</f>
        <v>0</v>
      </c>
      <c r="C13" s="26">
        <f>'Contabilità fornitori'!C14</f>
        <v>0</v>
      </c>
      <c r="D13" s="26">
        <f>'Contabilità fornitori'!D14</f>
        <v>0</v>
      </c>
      <c r="E13" s="27">
        <f>'Contabilità fornitori'!E14</f>
        <v>0</v>
      </c>
      <c r="F13" s="55">
        <f>'Contabilità fornitori'!F14</f>
        <v>0</v>
      </c>
      <c r="G13" s="25">
        <f>'Contabilità fornitori'!G14</f>
        <v>0</v>
      </c>
      <c r="H13" s="56">
        <f>'Contabilità fornitori'!H14</f>
        <v>0</v>
      </c>
      <c r="I13" s="57" t="str">
        <f ca="1">IFERROR(IF($G13&gt;=$H$4,$H13,""), IF($D13&gt;=$H$4,$H13,""))</f>
        <v/>
      </c>
      <c r="J13" s="57" t="str">
        <f ca="1">IFERROR(IF(AND($H$4-$G13&gt;=1,$H$4-$G13&lt;=30),$H13,""),IF(AND($H$4-$D13&gt;=1,$H$4-$D13&lt;=30),$H13,""))</f>
        <v/>
      </c>
      <c r="K13" s="57" t="str">
        <f ca="1">IFERROR(IF(AND($H$4-$G13&gt;=31,$H$4-$G13&lt;=60),$H13,""),IF(AND($H$4-$D13&gt;=31,$H$4-$D13&lt;=60),$H13,""))</f>
        <v/>
      </c>
      <c r="L13" s="57" t="str">
        <f ca="1">IFERROR(IF(AND($H$4-$G13&gt;=61,$H$4-$G13&lt;=90),$H13,""),IF(AND($H$4-$D13&gt;=61,$H$4-$D13&lt;=90),$H13,""))</f>
        <v/>
      </c>
      <c r="M13" s="57" t="str">
        <f ca="1">IFERROR(IF(AND($G13&gt;0,$H$4-$G13&gt;=91),$H13,""),IF(AND($D13&gt;0,$H$4-$D13&gt;=91),$H13,""))</f>
        <v/>
      </c>
    </row>
    <row r="14" spans="1:20" ht="21.95" customHeight="1" x14ac:dyDescent="0.2">
      <c r="B14" s="28">
        <f>'Contabilità fornitori'!B15</f>
        <v>0</v>
      </c>
      <c r="C14" s="29">
        <f>'Contabilità fornitori'!C15</f>
        <v>0</v>
      </c>
      <c r="D14" s="29">
        <f>'Contabilità fornitori'!D15</f>
        <v>0</v>
      </c>
      <c r="E14" s="30">
        <f>'Contabilità fornitori'!E15</f>
        <v>0</v>
      </c>
      <c r="F14" s="58">
        <f>'Contabilità fornitori'!F15</f>
        <v>0</v>
      </c>
      <c r="G14" s="28">
        <f>'Contabilità fornitori'!G15</f>
        <v>0</v>
      </c>
      <c r="H14" s="59">
        <f>'Contabilità fornitori'!H15</f>
        <v>0</v>
      </c>
      <c r="I14" s="60" t="str">
        <f ca="1">IFERROR(IF($G14&gt;=$H$4,$H14,""), IF($D14&gt;=$H$4,$H14,""))</f>
        <v/>
      </c>
      <c r="J14" s="60" t="str">
        <f ca="1">IFERROR(IF(AND($H$4-$G14&gt;=1,$H$4-$G14&lt;=30),$H14,""),IF(AND($H$4-$D14&gt;=1,$H$4-$D14&lt;=30),$H14,""))</f>
        <v/>
      </c>
      <c r="K14" s="60" t="str">
        <f ca="1">IFERROR(IF(AND($H$4-$G14&gt;=31,$H$4-$G14&lt;=60),$H14,""),IF(AND($H$4-$D14&gt;=31,$H$4-$D14&lt;=60),$H14,""))</f>
        <v/>
      </c>
      <c r="L14" s="60" t="str">
        <f ca="1">IFERROR(IF(AND($H$4-$G14&gt;=61,$H$4-$G14&lt;=90),$H14,""),IF(AND($H$4-$D14&gt;=61,$H$4-$D14&lt;=90),$H14,""))</f>
        <v/>
      </c>
      <c r="M14" s="60" t="str">
        <f ca="1">IFERROR(IF(AND($G14&gt;0,$H$4-$G14&gt;=91),$H14,""),IF(AND($D14&gt;0,$H$4-$D14&gt;=91),$H14,""))</f>
        <v/>
      </c>
    </row>
    <row r="15" spans="1:20" ht="21.95" customHeight="1" x14ac:dyDescent="0.2">
      <c r="B15" s="25">
        <f>'Contabilità fornitori'!B16</f>
        <v>0</v>
      </c>
      <c r="C15" s="26">
        <f>'Contabilità fornitori'!C16</f>
        <v>0</v>
      </c>
      <c r="D15" s="26">
        <f>'Contabilità fornitori'!D16</f>
        <v>0</v>
      </c>
      <c r="E15" s="27">
        <f>'Contabilità fornitori'!E16</f>
        <v>0</v>
      </c>
      <c r="F15" s="55">
        <f>'Contabilità fornitori'!F16</f>
        <v>0</v>
      </c>
      <c r="G15" s="25">
        <f>'Contabilità fornitori'!G16</f>
        <v>0</v>
      </c>
      <c r="H15" s="56">
        <f>'Contabilità fornitori'!H16</f>
        <v>0</v>
      </c>
      <c r="I15" s="57" t="str">
        <f ca="1">IFERROR(IF($G15&gt;=$H$4,$H15,""), IF($D15&gt;=$H$4,$H15,""))</f>
        <v/>
      </c>
      <c r="J15" s="57" t="str">
        <f ca="1">IFERROR(IF(AND($H$4-$G15&gt;=1,$H$4-$G15&lt;=30),$H15,""),IF(AND($H$4-$D15&gt;=1,$H$4-$D15&lt;=30),$H15,""))</f>
        <v/>
      </c>
      <c r="K15" s="57" t="str">
        <f ca="1">IFERROR(IF(AND($H$4-$G15&gt;=31,$H$4-$G15&lt;=60),$H15,""),IF(AND($H$4-$D15&gt;=31,$H$4-$D15&lt;=60),$H15,""))</f>
        <v/>
      </c>
      <c r="L15" s="57" t="str">
        <f ca="1">IFERROR(IF(AND($H$4-$G15&gt;=61,$H$4-$G15&lt;=90),$H15,""),IF(AND($H$4-$D15&gt;=61,$H$4-$D15&lt;=90),$H15,""))</f>
        <v/>
      </c>
      <c r="M15" s="57" t="str">
        <f ca="1">IFERROR(IF(AND($G15&gt;0,$H$4-$G15&gt;=91),$H15,""),IF(AND($D15&gt;0,$H$4-$D15&gt;=91),$H15,""))</f>
        <v/>
      </c>
    </row>
    <row r="16" spans="1:20" ht="21.95" customHeight="1" x14ac:dyDescent="0.2">
      <c r="B16" s="28">
        <f>'Contabilità fornitori'!B17</f>
        <v>0</v>
      </c>
      <c r="C16" s="29">
        <f>'Contabilità fornitori'!C17</f>
        <v>0</v>
      </c>
      <c r="D16" s="29">
        <f>'Contabilità fornitori'!D17</f>
        <v>0</v>
      </c>
      <c r="E16" s="30">
        <f>'Contabilità fornitori'!E17</f>
        <v>0</v>
      </c>
      <c r="F16" s="58">
        <f>'Contabilità fornitori'!F17</f>
        <v>0</v>
      </c>
      <c r="G16" s="28">
        <f>'Contabilità fornitori'!G17</f>
        <v>0</v>
      </c>
      <c r="H16" s="59">
        <f>'Contabilità fornitori'!H17</f>
        <v>0</v>
      </c>
      <c r="I16" s="60" t="str">
        <f ca="1">IFERROR(IF($G16&gt;=$H$4,$H16,""), IF($D16&gt;=$H$4,$H16,""))</f>
        <v/>
      </c>
      <c r="J16" s="60" t="str">
        <f ca="1">IFERROR(IF(AND($H$4-$G16&gt;=1,$H$4-$G16&lt;=30),$H16,""),IF(AND($H$4-$D16&gt;=1,$H$4-$D16&lt;=30),$H16,""))</f>
        <v/>
      </c>
      <c r="K16" s="60" t="str">
        <f ca="1">IFERROR(IF(AND($H$4-$G16&gt;=31,$H$4-$G16&lt;=60),$H16,""),IF(AND($H$4-$D16&gt;=31,$H$4-$D16&lt;=60),$H16,""))</f>
        <v/>
      </c>
      <c r="L16" s="60" t="str">
        <f ca="1">IFERROR(IF(AND($H$4-$G16&gt;=61,$H$4-$G16&lt;=90),$H16,""),IF(AND($H$4-$D16&gt;=61,$H$4-$D16&lt;=90),$H16,""))</f>
        <v/>
      </c>
      <c r="M16" s="60" t="str">
        <f ca="1">IFERROR(IF(AND($G16&gt;0,$H$4-$G16&gt;=91),$H16,""),IF(AND($D16&gt;0,$H$4-$D16&gt;=91),$H16,""))</f>
        <v/>
      </c>
    </row>
    <row r="17" spans="2:16" ht="21.95" customHeight="1" x14ac:dyDescent="0.2">
      <c r="B17" s="25">
        <f>'Contabilità fornitori'!B18</f>
        <v>0</v>
      </c>
      <c r="C17" s="26">
        <f>'Contabilità fornitori'!C18</f>
        <v>0</v>
      </c>
      <c r="D17" s="26">
        <f>'Contabilità fornitori'!D18</f>
        <v>0</v>
      </c>
      <c r="E17" s="27">
        <f>'Contabilità fornitori'!E18</f>
        <v>0</v>
      </c>
      <c r="F17" s="55">
        <f>'Contabilità fornitori'!F18</f>
        <v>0</v>
      </c>
      <c r="G17" s="25">
        <f>'Contabilità fornitori'!G18</f>
        <v>0</v>
      </c>
      <c r="H17" s="56">
        <f>'Contabilità fornitori'!H18</f>
        <v>0</v>
      </c>
      <c r="I17" s="57" t="str">
        <f ca="1">IFERROR(IF($G17&gt;=$H$4,$H17,""), IF($D17&gt;=$H$4,$H17,""))</f>
        <v/>
      </c>
      <c r="J17" s="57" t="str">
        <f ca="1">IFERROR(IF(AND($H$4-$G17&gt;=1,$H$4-$G17&lt;=30),$H17,""),IF(AND($H$4-$D17&gt;=1,$H$4-$D17&lt;=30),$H17,""))</f>
        <v/>
      </c>
      <c r="K17" s="57" t="str">
        <f ca="1">IFERROR(IF(AND($H$4-$G17&gt;=31,$H$4-$G17&lt;=60),$H17,""),IF(AND($H$4-$D17&gt;=31,$H$4-$D17&lt;=60),$H17,""))</f>
        <v/>
      </c>
      <c r="L17" s="57" t="str">
        <f ca="1">IFERROR(IF(AND($H$4-$G17&gt;=61,$H$4-$G17&lt;=90),$H17,""),IF(AND($H$4-$D17&gt;=61,$H$4-$D17&lt;=90),$H17,""))</f>
        <v/>
      </c>
      <c r="M17" s="57" t="str">
        <f ca="1">IFERROR(IF(AND($G17&gt;0,$H$4-$G17&gt;=91),$H17,""),IF(AND($D17&gt;0,$H$4-$D17&gt;=91),$H17,""))</f>
        <v/>
      </c>
    </row>
    <row r="18" spans="2:16" ht="21.95" customHeight="1" x14ac:dyDescent="0.2">
      <c r="B18" s="28">
        <f>'Contabilità fornitori'!B19</f>
        <v>0</v>
      </c>
      <c r="C18" s="29">
        <f>'Contabilità fornitori'!C19</f>
        <v>0</v>
      </c>
      <c r="D18" s="29">
        <f>'Contabilità fornitori'!D19</f>
        <v>0</v>
      </c>
      <c r="E18" s="30">
        <f>'Contabilità fornitori'!E19</f>
        <v>0</v>
      </c>
      <c r="F18" s="58">
        <f>'Contabilità fornitori'!F19</f>
        <v>0</v>
      </c>
      <c r="G18" s="28">
        <f>'Contabilità fornitori'!G19</f>
        <v>0</v>
      </c>
      <c r="H18" s="59">
        <f>'Contabilità fornitori'!H19</f>
        <v>0</v>
      </c>
      <c r="I18" s="60" t="str">
        <f ca="1">IFERROR(IF($G18&gt;=$H$4,$H18,""), IF($D18&gt;=$H$4,$H18,""))</f>
        <v/>
      </c>
      <c r="J18" s="60" t="str">
        <f ca="1">IFERROR(IF(AND($H$4-$G18&gt;=1,$H$4-$G18&lt;=30),$H18,""),IF(AND($H$4-$D18&gt;=1,$H$4-$D18&lt;=30),$H18,""))</f>
        <v/>
      </c>
      <c r="K18" s="60" t="str">
        <f ca="1">IFERROR(IF(AND($H$4-$G18&gt;=31,$H$4-$G18&lt;=60),$H18,""),IF(AND($H$4-$D18&gt;=31,$H$4-$D18&lt;=60),$H18,""))</f>
        <v/>
      </c>
      <c r="L18" s="60" t="str">
        <f ca="1">IFERROR(IF(AND($H$4-$G18&gt;=61,$H$4-$G18&lt;=90),$H18,""),IF(AND($H$4-$D18&gt;=61,$H$4-$D18&lt;=90),$H18,""))</f>
        <v/>
      </c>
      <c r="M18" s="60" t="str">
        <f ca="1">IFERROR(IF(AND($G18&gt;0,$H$4-$G18&gt;=91),$H18,""),IF(AND($D18&gt;0,$H$4-$D18&gt;=91),$H18,""))</f>
        <v/>
      </c>
    </row>
    <row r="19" spans="2:16" ht="21.95" customHeight="1" x14ac:dyDescent="0.2">
      <c r="B19" s="25">
        <f>'Contabilità fornitori'!B20</f>
        <v>0</v>
      </c>
      <c r="C19" s="26">
        <f>'Contabilità fornitori'!C20</f>
        <v>0</v>
      </c>
      <c r="D19" s="26">
        <f>'Contabilità fornitori'!D20</f>
        <v>0</v>
      </c>
      <c r="E19" s="27">
        <f>'Contabilità fornitori'!E20</f>
        <v>0</v>
      </c>
      <c r="F19" s="55">
        <f>'Contabilità fornitori'!F20</f>
        <v>0</v>
      </c>
      <c r="G19" s="25">
        <f>'Contabilità fornitori'!G20</f>
        <v>0</v>
      </c>
      <c r="H19" s="56">
        <f>'Contabilità fornitori'!H20</f>
        <v>0</v>
      </c>
      <c r="I19" s="57" t="str">
        <f ca="1">IFERROR(IF($G19&gt;=$H$4,$H19,""), IF($D19&gt;=$H$4,$H19,""))</f>
        <v/>
      </c>
      <c r="J19" s="57" t="str">
        <f ca="1">IFERROR(IF(AND($H$4-$G19&gt;=1,$H$4-$G19&lt;=30),$H19,""),IF(AND($H$4-$D19&gt;=1,$H$4-$D19&lt;=30),$H19,""))</f>
        <v/>
      </c>
      <c r="K19" s="57" t="str">
        <f ca="1">IFERROR(IF(AND($H$4-$G19&gt;=31,$H$4-$G19&lt;=60),$H19,""),IF(AND($H$4-$D19&gt;=31,$H$4-$D19&lt;=60),$H19,""))</f>
        <v/>
      </c>
      <c r="L19" s="57" t="str">
        <f ca="1">IFERROR(IF(AND($H$4-$G19&gt;=61,$H$4-$G19&lt;=90),$H19,""),IF(AND($H$4-$D19&gt;=61,$H$4-$D19&lt;=90),$H19,""))</f>
        <v/>
      </c>
      <c r="M19" s="57" t="str">
        <f ca="1">IFERROR(IF(AND($G19&gt;0,$H$4-$G19&gt;=91),$H19,""),IF(AND($D19&gt;0,$H$4-$D19&gt;=91),$H19,""))</f>
        <v/>
      </c>
    </row>
    <row r="20" spans="2:16" ht="21.95" customHeight="1" x14ac:dyDescent="0.2">
      <c r="B20" s="28">
        <f>'Contabilità fornitori'!B21</f>
        <v>0</v>
      </c>
      <c r="C20" s="29">
        <f>'Contabilità fornitori'!C21</f>
        <v>0</v>
      </c>
      <c r="D20" s="29">
        <f>'Contabilità fornitori'!D21</f>
        <v>0</v>
      </c>
      <c r="E20" s="30">
        <f>'Contabilità fornitori'!E21</f>
        <v>0</v>
      </c>
      <c r="F20" s="58">
        <f>'Contabilità fornitori'!F21</f>
        <v>0</v>
      </c>
      <c r="G20" s="28">
        <f>'Contabilità fornitori'!G21</f>
        <v>0</v>
      </c>
      <c r="H20" s="59">
        <f>'Contabilità fornitori'!H21</f>
        <v>0</v>
      </c>
      <c r="I20" s="60" t="str">
        <f ca="1">IFERROR(IF($G20&gt;=$H$4,$H20,""), IF($D20&gt;=$H$4,$H20,""))</f>
        <v/>
      </c>
      <c r="J20" s="60" t="str">
        <f ca="1">IFERROR(IF(AND($H$4-$G20&gt;=1,$H$4-$G20&lt;=30),$H20,""),IF(AND($H$4-$D20&gt;=1,$H$4-$D20&lt;=30),$H20,""))</f>
        <v/>
      </c>
      <c r="K20" s="60" t="str">
        <f ca="1">IFERROR(IF(AND($H$4-$G20&gt;=31,$H$4-$G20&lt;=60),$H20,""),IF(AND($H$4-$D20&gt;=31,$H$4-$D20&lt;=60),$H20,""))</f>
        <v/>
      </c>
      <c r="L20" s="60" t="str">
        <f ca="1">IFERROR(IF(AND($H$4-$G20&gt;=61,$H$4-$G20&lt;=90),$H20,""),IF(AND($H$4-$D20&gt;=61,$H$4-$D20&lt;=90),$H20,""))</f>
        <v/>
      </c>
      <c r="M20" s="60" t="str">
        <f ca="1">IFERROR(IF(AND($G20&gt;0,$H$4-$G20&gt;=91),$H20,""),IF(AND($D20&gt;0,$H$4-$D20&gt;=91),$H20,""))</f>
        <v/>
      </c>
    </row>
    <row r="21" spans="2:16" ht="21.95" customHeight="1" x14ac:dyDescent="0.2">
      <c r="B21" s="25">
        <f>'Contabilità fornitori'!B22</f>
        <v>0</v>
      </c>
      <c r="C21" s="26">
        <f>'Contabilità fornitori'!C22</f>
        <v>0</v>
      </c>
      <c r="D21" s="26">
        <f>'Contabilità fornitori'!D22</f>
        <v>0</v>
      </c>
      <c r="E21" s="27">
        <f>'Contabilità fornitori'!E22</f>
        <v>0</v>
      </c>
      <c r="F21" s="55">
        <f>'Contabilità fornitori'!F22</f>
        <v>0</v>
      </c>
      <c r="G21" s="25">
        <f>'Contabilità fornitori'!G22</f>
        <v>0</v>
      </c>
      <c r="H21" s="56">
        <f>'Contabilità fornitori'!H22</f>
        <v>0</v>
      </c>
      <c r="I21" s="57" t="str">
        <f ca="1">IFERROR(IF($G21&gt;=$H$4,$H21,""), IF($D21&gt;=$H$4,$H21,""))</f>
        <v/>
      </c>
      <c r="J21" s="57" t="str">
        <f ca="1">IFERROR(IF(AND($H$4-$G21&gt;=1,$H$4-$G21&lt;=30),$H21,""),IF(AND($H$4-$D21&gt;=1,$H$4-$D21&lt;=30),$H21,""))</f>
        <v/>
      </c>
      <c r="K21" s="57" t="str">
        <f ca="1">IFERROR(IF(AND($H$4-$G21&gt;=31,$H$4-$G21&lt;=60),$H21,""),IF(AND($H$4-$D21&gt;=31,$H$4-$D21&lt;=60),$H21,""))</f>
        <v/>
      </c>
      <c r="L21" s="57" t="str">
        <f ca="1">IFERROR(IF(AND($H$4-$G21&gt;=61,$H$4-$G21&lt;=90),$H21,""),IF(AND($H$4-$D21&gt;=61,$H$4-$D21&lt;=90),$H21,""))</f>
        <v/>
      </c>
      <c r="M21" s="57" t="str">
        <f ca="1">IFERROR(IF(AND($G21&gt;0,$H$4-$G21&gt;=91),$H21,""),IF(AND($D21&gt;0,$H$4-$D21&gt;=91),$H21,""))</f>
        <v/>
      </c>
    </row>
    <row r="22" spans="2:16" ht="21.95" customHeight="1" x14ac:dyDescent="0.2">
      <c r="B22" s="28">
        <f>'Contabilità fornitori'!B23</f>
        <v>0</v>
      </c>
      <c r="C22" s="29">
        <f>'Contabilità fornitori'!C23</f>
        <v>0</v>
      </c>
      <c r="D22" s="29">
        <f>'Contabilità fornitori'!D23</f>
        <v>0</v>
      </c>
      <c r="E22" s="30">
        <f>'Contabilità fornitori'!E23</f>
        <v>0</v>
      </c>
      <c r="F22" s="58">
        <f>'Contabilità fornitori'!F23</f>
        <v>0</v>
      </c>
      <c r="G22" s="28">
        <f>'Contabilità fornitori'!G23</f>
        <v>0</v>
      </c>
      <c r="H22" s="59">
        <f>'Contabilità fornitori'!H23</f>
        <v>0</v>
      </c>
      <c r="I22" s="60" t="str">
        <f ca="1">IFERROR(IF($G22&gt;=$H$4,$H22,""), IF($D22&gt;=$H$4,$H22,""))</f>
        <v/>
      </c>
      <c r="J22" s="60" t="str">
        <f ca="1">IFERROR(IF(AND($H$4-$G22&gt;=1,$H$4-$G22&lt;=30),$H22,""),IF(AND($H$4-$D22&gt;=1,$H$4-$D22&lt;=30),$H22,""))</f>
        <v/>
      </c>
      <c r="K22" s="60" t="str">
        <f ca="1">IFERROR(IF(AND($H$4-$G22&gt;=31,$H$4-$G22&lt;=60),$H22,""),IF(AND($H$4-$D22&gt;=31,$H$4-$D22&lt;=60),$H22,""))</f>
        <v/>
      </c>
      <c r="L22" s="60" t="str">
        <f ca="1">IFERROR(IF(AND($H$4-$G22&gt;=61,$H$4-$G22&lt;=90),$H22,""),IF(AND($H$4-$D22&gt;=61,$H$4-$D22&lt;=90),$H22,""))</f>
        <v/>
      </c>
      <c r="M22" s="60" t="str">
        <f ca="1">IFERROR(IF(AND($G22&gt;0,$H$4-$G22&gt;=91),$H22,""),IF(AND($D22&gt;0,$H$4-$D22&gt;=91),$H22,""))</f>
        <v/>
      </c>
    </row>
    <row r="23" spans="2:16" ht="21.95" customHeight="1" x14ac:dyDescent="0.2">
      <c r="B23" s="25">
        <f>'Contabilità fornitori'!B24</f>
        <v>0</v>
      </c>
      <c r="C23" s="26">
        <f>'Contabilità fornitori'!C24</f>
        <v>0</v>
      </c>
      <c r="D23" s="26">
        <f>'Contabilità fornitori'!D24</f>
        <v>0</v>
      </c>
      <c r="E23" s="27">
        <f>'Contabilità fornitori'!E24</f>
        <v>0</v>
      </c>
      <c r="F23" s="55">
        <f>'Contabilità fornitori'!F24</f>
        <v>0</v>
      </c>
      <c r="G23" s="25">
        <f>'Contabilità fornitori'!G24</f>
        <v>0</v>
      </c>
      <c r="H23" s="56">
        <f>'Contabilità fornitori'!H24</f>
        <v>0</v>
      </c>
      <c r="I23" s="57" t="str">
        <f ca="1">IFERROR(IF($G23&gt;=$H$4,$H23,""), IF($D23&gt;=$H$4,$H23,""))</f>
        <v/>
      </c>
      <c r="J23" s="57" t="str">
        <f ca="1">IFERROR(IF(AND($H$4-$G23&gt;=1,$H$4-$G23&lt;=30),$H23,""),IF(AND($H$4-$D23&gt;=1,$H$4-$D23&lt;=30),$H23,""))</f>
        <v/>
      </c>
      <c r="K23" s="57" t="str">
        <f ca="1">IFERROR(IF(AND($H$4-$G23&gt;=31,$H$4-$G23&lt;=60),$H23,""),IF(AND($H$4-$D23&gt;=31,$H$4-$D23&lt;=60),$H23,""))</f>
        <v/>
      </c>
      <c r="L23" s="57" t="str">
        <f ca="1">IFERROR(IF(AND($H$4-$G23&gt;=61,$H$4-$G23&lt;=90),$H23,""),IF(AND($H$4-$D23&gt;=61,$H$4-$D23&lt;=90),$H23,""))</f>
        <v/>
      </c>
      <c r="M23" s="57" t="str">
        <f ca="1">IFERROR(IF(AND($G23&gt;0,$H$4-$G23&gt;=91),$H23,""),IF(AND($D23&gt;0,$H$4-$D23&gt;=91),$H23,""))</f>
        <v/>
      </c>
    </row>
    <row r="24" spans="2:16" ht="21.95" customHeight="1" x14ac:dyDescent="0.2">
      <c r="B24" s="28">
        <f>'Contabilità fornitori'!B25</f>
        <v>0</v>
      </c>
      <c r="C24" s="29">
        <f>'Contabilità fornitori'!C25</f>
        <v>0</v>
      </c>
      <c r="D24" s="29">
        <f>'Contabilità fornitori'!D25</f>
        <v>0</v>
      </c>
      <c r="E24" s="30">
        <f>'Contabilità fornitori'!E25</f>
        <v>0</v>
      </c>
      <c r="F24" s="58">
        <f>'Contabilità fornitori'!F25</f>
        <v>0</v>
      </c>
      <c r="G24" s="28">
        <f>'Contabilità fornitori'!G25</f>
        <v>0</v>
      </c>
      <c r="H24" s="59">
        <f>'Contabilità fornitori'!H25</f>
        <v>0</v>
      </c>
      <c r="I24" s="60" t="str">
        <f ca="1">IFERROR(IF($G24&gt;=$H$4,$H24,""), IF($D24&gt;=$H$4,$H24,""))</f>
        <v/>
      </c>
      <c r="J24" s="60" t="str">
        <f ca="1">IFERROR(IF(AND($H$4-$G24&gt;=1,$H$4-$G24&lt;=30),$H24,""),IF(AND($H$4-$D24&gt;=1,$H$4-$D24&lt;=30),$H24,""))</f>
        <v/>
      </c>
      <c r="K24" s="60" t="str">
        <f ca="1">IFERROR(IF(AND($H$4-$G24&gt;=31,$H$4-$G24&lt;=60),$H24,""),IF(AND($H$4-$D24&gt;=31,$H$4-$D24&lt;=60),$H24,""))</f>
        <v/>
      </c>
      <c r="L24" s="60" t="str">
        <f ca="1">IFERROR(IF(AND($H$4-$G24&gt;=61,$H$4-$G24&lt;=90),$H24,""),IF(AND($H$4-$D24&gt;=61,$H$4-$D24&lt;=90),$H24,""))</f>
        <v/>
      </c>
      <c r="M24" s="60" t="str">
        <f ca="1">IFERROR(IF(AND($G24&gt;0,$H$4-$G24&gt;=91),$H24,""),IF(AND($D24&gt;0,$H$4-$D24&gt;=91),$H24,""))</f>
        <v/>
      </c>
    </row>
    <row r="25" spans="2:16" ht="21.95" customHeight="1" x14ac:dyDescent="0.2">
      <c r="B25" s="25">
        <f>'Contabilità fornitori'!B26</f>
        <v>0</v>
      </c>
      <c r="C25" s="26">
        <f>'Contabilità fornitori'!C26</f>
        <v>0</v>
      </c>
      <c r="D25" s="26">
        <f>'Contabilità fornitori'!D26</f>
        <v>0</v>
      </c>
      <c r="E25" s="27">
        <f>'Contabilità fornitori'!E26</f>
        <v>0</v>
      </c>
      <c r="F25" s="55">
        <f>'Contabilità fornitori'!F26</f>
        <v>0</v>
      </c>
      <c r="G25" s="25">
        <f>'Contabilità fornitori'!G26</f>
        <v>0</v>
      </c>
      <c r="H25" s="56">
        <f>'Contabilità fornitori'!H26</f>
        <v>0</v>
      </c>
      <c r="I25" s="57" t="str">
        <f ca="1">IFERROR(IF($G25&gt;=$H$4,$H25,""), IF($D25&gt;=$H$4,$H25,""))</f>
        <v/>
      </c>
      <c r="J25" s="57" t="str">
        <f ca="1">IFERROR(IF(AND($H$4-$G25&gt;=1,$H$4-$G25&lt;=30),$H25,""),IF(AND($H$4-$D25&gt;=1,$H$4-$D25&lt;=30),$H25,""))</f>
        <v/>
      </c>
      <c r="K25" s="57" t="str">
        <f ca="1">IFERROR(IF(AND($H$4-$G25&gt;=31,$H$4-$G25&lt;=60),$H25,""),IF(AND($H$4-$D25&gt;=31,$H$4-$D25&lt;=60),$H25,""))</f>
        <v/>
      </c>
      <c r="L25" s="57" t="str">
        <f ca="1">IFERROR(IF(AND($H$4-$G25&gt;=61,$H$4-$G25&lt;=90),$H25,""),IF(AND($H$4-$D25&gt;=61,$H$4-$D25&lt;=90),$H25,""))</f>
        <v/>
      </c>
      <c r="M25" s="57" t="str">
        <f ca="1">IFERROR(IF(AND($G25&gt;0,$H$4-$G25&gt;=91),$H25,""),IF(AND($D25&gt;0,$H$4-$D25&gt;=91),$H25,""))</f>
        <v/>
      </c>
    </row>
    <row r="26" spans="2:16" ht="21.95" customHeight="1" thickBot="1" x14ac:dyDescent="0.25">
      <c r="B26" s="31">
        <f>'Contabilità fornitori'!B27</f>
        <v>0</v>
      </c>
      <c r="C26" s="32">
        <f>'Contabilità fornitori'!C27</f>
        <v>0</v>
      </c>
      <c r="D26" s="32">
        <f>'Contabilità fornitori'!D27</f>
        <v>0</v>
      </c>
      <c r="E26" s="33">
        <f>'Contabilità fornitori'!E27</f>
        <v>0</v>
      </c>
      <c r="F26" s="61">
        <f>'Contabilità fornitori'!F27</f>
        <v>0</v>
      </c>
      <c r="G26" s="31">
        <f>'Contabilità fornitori'!G27</f>
        <v>0</v>
      </c>
      <c r="H26" s="62">
        <f>'Contabilità fornitori'!H27</f>
        <v>0</v>
      </c>
      <c r="I26" s="63" t="str">
        <f ca="1">IFERROR(IF($G26&gt;=$H$4,$H26,""), IF($D26&gt;=$H$4,$H26,""))</f>
        <v/>
      </c>
      <c r="J26" s="63" t="str">
        <f ca="1">IFERROR(IF(AND($H$4-$G26&gt;=1,$H$4-$G26&lt;=30),$H26,""),IF(AND($H$4-$D26&gt;=1,$H$4-$D26&lt;=30),$H26,""))</f>
        <v/>
      </c>
      <c r="K26" s="63" t="str">
        <f ca="1">IFERROR(IF(AND($H$4-$G26&gt;=31,$H$4-$G26&lt;=60),$H26,""),IF(AND($H$4-$D26&gt;=31,$H$4-$D26&lt;=60),$H26,""))</f>
        <v/>
      </c>
      <c r="L26" s="63" t="str">
        <f ca="1">IFERROR(IF(AND($H$4-$G26&gt;=61,$H$4-$G26&lt;=90),$H26,""),IF(AND($H$4-$D26&gt;=61,$H$4-$D26&lt;=90),$H26,""))</f>
        <v/>
      </c>
      <c r="M26" s="63" t="str">
        <f ca="1">IFERROR(IF(AND($G26&gt;0,$H$4-$G26&gt;=91),$H26,""),IF(AND($D26&gt;0,$H$4-$D26&gt;=91),$H26,""))</f>
        <v/>
      </c>
    </row>
    <row r="27" spans="2:16" s="3" customFormat="1" ht="30" customHeight="1" thickBot="1" x14ac:dyDescent="0.25">
      <c r="C27" s="23"/>
      <c r="D27" s="23"/>
      <c r="E27" s="23"/>
      <c r="F27" s="76" t="s">
        <v>33</v>
      </c>
      <c r="G27" s="77"/>
      <c r="H27" s="64">
        <f>SUM(H7:H24)</f>
        <v>0</v>
      </c>
      <c r="I27" s="65">
        <f ca="1">SUM(I7:I24)</f>
        <v>0</v>
      </c>
      <c r="J27" s="65">
        <f ca="1">SUM(J7:J26)</f>
        <v>0</v>
      </c>
      <c r="K27" s="65">
        <f ca="1">SUM(K7:K26)</f>
        <v>0</v>
      </c>
      <c r="L27" s="65">
        <f ca="1">SUM(L7:L26)</f>
        <v>0</v>
      </c>
      <c r="M27" s="65">
        <f ca="1">SUM(M7:M26)</f>
        <v>0</v>
      </c>
    </row>
    <row r="28" spans="2:16" x14ac:dyDescent="0.2">
      <c r="B28" s="45"/>
      <c r="C28" s="45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</row>
    <row r="29" spans="2:16" ht="20.100000000000001" customHeight="1" x14ac:dyDescent="0.2">
      <c r="B29" s="23" t="s">
        <v>34</v>
      </c>
      <c r="C29" s="43"/>
      <c r="D29" s="43"/>
      <c r="E29" s="24" t="s">
        <v>35</v>
      </c>
      <c r="F29" s="48"/>
      <c r="G29" s="43"/>
      <c r="H29" s="78" t="s">
        <v>36</v>
      </c>
      <c r="I29" s="66"/>
      <c r="J29" s="66"/>
      <c r="K29" s="66"/>
      <c r="L29" s="24" t="s">
        <v>35</v>
      </c>
      <c r="M29" s="43"/>
    </row>
    <row r="30" spans="2:16" ht="35.1" customHeight="1" thickBot="1" x14ac:dyDescent="0.25">
      <c r="B30" s="68"/>
      <c r="C30" s="69"/>
      <c r="D30" s="70"/>
      <c r="E30" s="44"/>
      <c r="F30" s="48"/>
      <c r="G30" s="43"/>
      <c r="H30" s="68"/>
      <c r="I30" s="69"/>
      <c r="J30" s="69"/>
      <c r="K30" s="70"/>
      <c r="L30" s="44"/>
      <c r="M30" s="43"/>
    </row>
    <row r="31" spans="2:16" x14ac:dyDescent="0.2">
      <c r="B31" s="45"/>
      <c r="C31" s="45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</row>
    <row r="32" spans="2:16" x14ac:dyDescent="0.2">
      <c r="B32" s="45"/>
      <c r="C32" s="45"/>
      <c r="D32" s="46"/>
      <c r="E32" s="46"/>
      <c r="F32" s="46"/>
      <c r="G32" s="46"/>
      <c r="H32" s="46"/>
      <c r="I32" s="46"/>
      <c r="J32" s="46"/>
      <c r="K32" s="46"/>
      <c r="L32" s="46"/>
    </row>
    <row r="33" spans="2:16" x14ac:dyDescent="0.2">
      <c r="B33" s="45"/>
      <c r="C33" s="45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</row>
    <row r="34" spans="2:16" x14ac:dyDescent="0.2">
      <c r="B34" s="45"/>
      <c r="C34" s="45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</row>
    <row r="35" spans="2:16" x14ac:dyDescent="0.2">
      <c r="B35" s="45"/>
      <c r="C35" s="45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</row>
    <row r="36" spans="2:16" x14ac:dyDescent="0.2">
      <c r="B36" s="45"/>
      <c r="C36" s="45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</row>
    <row r="37" spans="2:16" x14ac:dyDescent="0.2">
      <c r="B37" s="45"/>
      <c r="C37" s="45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</row>
    <row r="38" spans="2:16" x14ac:dyDescent="0.2">
      <c r="B38" s="45"/>
      <c r="C38" s="45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</row>
    <row r="39" spans="2:16" x14ac:dyDescent="0.2">
      <c r="B39" s="45"/>
      <c r="C39" s="45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</row>
    <row r="40" spans="2:16" x14ac:dyDescent="0.2">
      <c r="B40" s="45"/>
      <c r="C40" s="45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</row>
    <row r="41" spans="2:16" x14ac:dyDescent="0.2">
      <c r="B41" s="45"/>
      <c r="C41" s="45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</row>
    <row r="42" spans="2:16" x14ac:dyDescent="0.2">
      <c r="B42" s="45"/>
      <c r="C42" s="45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</row>
    <row r="43" spans="2:16" x14ac:dyDescent="0.2">
      <c r="B43" s="45"/>
      <c r="C43" s="45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</row>
    <row r="44" spans="2:16" x14ac:dyDescent="0.2">
      <c r="B44" s="45"/>
      <c r="C44" s="45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</row>
    <row r="45" spans="2:16" x14ac:dyDescent="0.2">
      <c r="B45" s="45"/>
      <c r="C45" s="45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</row>
    <row r="46" spans="2:16" x14ac:dyDescent="0.2">
      <c r="B46" s="45"/>
      <c r="C46" s="45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</row>
    <row r="47" spans="2:16" x14ac:dyDescent="0.2">
      <c r="B47" s="45"/>
      <c r="C47" s="45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</row>
    <row r="48" spans="2:16" x14ac:dyDescent="0.2">
      <c r="B48" s="45"/>
      <c r="C48" s="45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</row>
    <row r="49" spans="2:16" x14ac:dyDescent="0.2">
      <c r="B49" s="45"/>
      <c r="C49" s="45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</row>
    <row r="50" spans="2:16" x14ac:dyDescent="0.2">
      <c r="B50" s="45"/>
      <c r="C50" s="45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</row>
    <row r="51" spans="2:16" x14ac:dyDescent="0.2">
      <c r="B51" s="45"/>
      <c r="C51" s="45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</row>
    <row r="52" spans="2:16" x14ac:dyDescent="0.2">
      <c r="B52" s="45"/>
      <c r="C52" s="45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</row>
    <row r="53" spans="2:16" x14ac:dyDescent="0.2">
      <c r="B53" s="45"/>
      <c r="C53" s="45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</row>
    <row r="54" spans="2:16" x14ac:dyDescent="0.2">
      <c r="B54" s="45"/>
      <c r="C54" s="45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</row>
    <row r="55" spans="2:16" x14ac:dyDescent="0.2">
      <c r="B55" s="45"/>
      <c r="C55" s="45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</row>
    <row r="56" spans="2:16" x14ac:dyDescent="0.2">
      <c r="B56" s="45"/>
      <c r="C56" s="45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</row>
    <row r="57" spans="2:16" x14ac:dyDescent="0.2">
      <c r="B57" s="45"/>
      <c r="C57" s="45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</row>
    <row r="58" spans="2:16" x14ac:dyDescent="0.2">
      <c r="B58" s="45"/>
      <c r="C58" s="45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</row>
    <row r="59" spans="2:16" x14ac:dyDescent="0.2">
      <c r="B59" s="45"/>
      <c r="C59" s="45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</row>
    <row r="60" spans="2:16" x14ac:dyDescent="0.2">
      <c r="B60" s="45"/>
      <c r="C60" s="45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</row>
    <row r="61" spans="2:16" x14ac:dyDescent="0.2">
      <c r="B61" s="45"/>
      <c r="C61" s="45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</row>
    <row r="62" spans="2:16" x14ac:dyDescent="0.2">
      <c r="B62" s="45"/>
      <c r="C62" s="45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</row>
    <row r="63" spans="2:16" x14ac:dyDescent="0.2">
      <c r="B63" s="45"/>
      <c r="C63" s="45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</row>
    <row r="64" spans="2:16" x14ac:dyDescent="0.2">
      <c r="B64" s="45"/>
      <c r="C64" s="45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</row>
    <row r="65" spans="2:16" x14ac:dyDescent="0.2">
      <c r="B65" s="45"/>
      <c r="C65" s="45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</row>
    <row r="66" spans="2:16" x14ac:dyDescent="0.2">
      <c r="B66" s="45"/>
      <c r="C66" s="45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</row>
    <row r="67" spans="2:16" x14ac:dyDescent="0.2">
      <c r="B67" s="45"/>
      <c r="C67" s="45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</row>
    <row r="68" spans="2:16" x14ac:dyDescent="0.2">
      <c r="B68" s="45"/>
      <c r="C68" s="45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</row>
    <row r="69" spans="2:16" x14ac:dyDescent="0.2">
      <c r="B69" s="45"/>
      <c r="C69" s="45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</row>
    <row r="70" spans="2:16" x14ac:dyDescent="0.2">
      <c r="B70" s="45"/>
      <c r="C70" s="45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</row>
    <row r="71" spans="2:16" x14ac:dyDescent="0.2">
      <c r="B71" s="45"/>
      <c r="C71" s="45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</row>
    <row r="72" spans="2:16" x14ac:dyDescent="0.2">
      <c r="B72" s="45"/>
      <c r="C72" s="45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</row>
    <row r="73" spans="2:16" x14ac:dyDescent="0.2">
      <c r="B73" s="45"/>
      <c r="C73" s="45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</row>
    <row r="74" spans="2:16" x14ac:dyDescent="0.2">
      <c r="B74" s="45"/>
      <c r="C74" s="45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</row>
    <row r="75" spans="2:16" x14ac:dyDescent="0.2">
      <c r="B75" s="45"/>
      <c r="C75" s="45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</row>
    <row r="76" spans="2:16" x14ac:dyDescent="0.2">
      <c r="B76" s="45"/>
      <c r="C76" s="45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</row>
    <row r="77" spans="2:16" x14ac:dyDescent="0.2">
      <c r="B77" s="45"/>
      <c r="C77" s="45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</row>
    <row r="78" spans="2:16" x14ac:dyDescent="0.2">
      <c r="B78" s="45"/>
      <c r="C78" s="45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</row>
    <row r="79" spans="2:16" x14ac:dyDescent="0.2">
      <c r="B79" s="45"/>
      <c r="C79" s="45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</row>
    <row r="80" spans="2:16" x14ac:dyDescent="0.2">
      <c r="B80" s="45"/>
      <c r="C80" s="45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</row>
    <row r="81" spans="2:16" x14ac:dyDescent="0.2">
      <c r="B81" s="45"/>
      <c r="C81" s="45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</row>
    <row r="82" spans="2:16" x14ac:dyDescent="0.2">
      <c r="B82" s="45"/>
      <c r="C82" s="45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</row>
    <row r="83" spans="2:16" x14ac:dyDescent="0.2">
      <c r="B83" s="45"/>
      <c r="C83" s="45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</row>
    <row r="84" spans="2:16" x14ac:dyDescent="0.2">
      <c r="B84" s="45"/>
      <c r="C84" s="45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</row>
    <row r="85" spans="2:16" x14ac:dyDescent="0.2">
      <c r="B85" s="45"/>
      <c r="C85" s="45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</row>
    <row r="86" spans="2:16" x14ac:dyDescent="0.2">
      <c r="B86" s="45"/>
      <c r="C86" s="45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</row>
    <row r="87" spans="2:16" x14ac:dyDescent="0.2">
      <c r="B87" s="45"/>
      <c r="C87" s="45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</row>
    <row r="88" spans="2:16" x14ac:dyDescent="0.2">
      <c r="B88" s="45"/>
      <c r="C88" s="45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</row>
    <row r="139" spans="5:5" x14ac:dyDescent="0.2">
      <c r="E139" t="s">
        <v>37</v>
      </c>
    </row>
  </sheetData>
  <mergeCells count="6">
    <mergeCell ref="H30:K30"/>
    <mergeCell ref="B4:G4"/>
    <mergeCell ref="I4:M4"/>
    <mergeCell ref="F27:G27"/>
    <mergeCell ref="B30:D30"/>
    <mergeCell ref="H29:K29"/>
  </mergeCells>
  <pageMargins left="0.25" right="0.25" top="0.25" bottom="0.25" header="0" footer="0"/>
  <pageSetup paperSize="3" scale="98" fitToHeight="0" orientation="landscape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0.34998626667073579"/>
  </sheetPr>
  <dimension ref="B2"/>
  <sheetViews>
    <sheetView showGridLines="0" tabSelected="1" workbookViewId="0">
      <selection activeCell="B62" sqref="B62:M62"/>
    </sheetView>
  </sheetViews>
  <sheetFormatPr defaultColWidth="10.76171875" defaultRowHeight="15" x14ac:dyDescent="0.2"/>
  <cols>
    <col min="1" max="1" width="3.359375" style="41" customWidth="1"/>
    <col min="2" max="2" width="88.37890625" style="41" customWidth="1"/>
    <col min="3" max="3" width="10.76171875" style="41" customWidth="1"/>
    <col min="4" max="16384" width="10.76171875" style="41"/>
  </cols>
  <sheetData>
    <row r="2" spans="2:2" ht="117.95" customHeight="1" x14ac:dyDescent="0.2">
      <c r="B2" s="42" t="s">
        <v>38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</vt:i4>
      </vt:variant>
    </vt:vector>
  </HeadingPairs>
  <TitlesOfParts>
    <vt:vector size="5" baseType="lpstr">
      <vt:lpstr>Contabilità fornitori</vt:lpstr>
      <vt:lpstr>Invecchiamento dei crediti</vt:lpstr>
      <vt:lpstr>razione di non responsabilità -</vt:lpstr>
      <vt:lpstr>Contabilità fornitori!Area_stampa</vt:lpstr>
      <vt:lpstr>Invecchiamento dei crediti!Area_stampa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Alexandra Ragazhinskaya</cp:lastModifiedBy>
  <cp:lastPrinted>2016-01-05T19:46:50Z</cp:lastPrinted>
  <dcterms:created xsi:type="dcterms:W3CDTF">2016-01-05T17:01:40Z</dcterms:created>
  <dcterms:modified xsi:type="dcterms:W3CDTF">2020-07-27T19:35:15Z</dcterms:modified>
</cp:coreProperties>
</file>