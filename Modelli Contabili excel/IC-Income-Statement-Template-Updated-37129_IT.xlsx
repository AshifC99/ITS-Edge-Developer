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ADF44904-405E-C248-85F6-5BBCA205BBE7}" xr6:coauthVersionLast="47" xr6:coauthVersionMax="47" xr10:uidLastSave="{00000000-0000-0000-0000-000000000000}"/>
  <bookViews>
    <workbookView xWindow="0" yWindow="460" windowWidth="25600" windowHeight="14180" xr2:uid="{00000000-000D-0000-FFFF-FFFF00000000}"/>
  </bookViews>
  <sheets>
    <sheet name="Passaggio singol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35" i="1"/>
  <c r="F37" i="1"/>
  <c r="F38" i="1"/>
  <c r="F40" i="1"/>
  <c r="F42" i="1"/>
  <c r="E12" i="1"/>
  <c r="E35" i="1"/>
  <c r="E37" i="1"/>
  <c r="E38" i="1"/>
  <c r="E40" i="1"/>
  <c r="E42" i="1"/>
</calcChain>
</file>

<file path=xl/sharedStrings.xml><?xml version="1.0" encoding="utf-8"?>
<sst xmlns="http://schemas.openxmlformats.org/spreadsheetml/2006/main" count="37" uniqueCount="37">
  <si>
    <t>[Nome dell'azienda]</t>
  </si>
  <si>
    <t>Conto Economico</t>
  </si>
  <si>
    <t>Fine anni:</t>
  </si>
  <si>
    <t>Ricavo</t>
  </si>
  <si>
    <t>Ricavi di vendita</t>
  </si>
  <si>
    <t>(Meno resi di vendita e indennità)</t>
  </si>
  <si>
    <t>Entrate da servizi</t>
  </si>
  <si>
    <t>Interessi attivi</t>
  </si>
  <si>
    <t>Altre entrate</t>
  </si>
  <si>
    <t>Ricavi totali</t>
  </si>
  <si>
    <t>Spese</t>
  </si>
  <si>
    <t>Pubblicità</t>
  </si>
  <si>
    <t>Crediti inesigibili</t>
  </si>
  <si>
    <t>Commissioni</t>
  </si>
  <si>
    <t>Costo dei beni venduti</t>
  </si>
  <si>
    <t>Deprezzamento</t>
  </si>
  <si>
    <t>Benefici per i dipendenti</t>
  </si>
  <si>
    <t>Mobili e attrezzature</t>
  </si>
  <si>
    <t>Assicurazione</t>
  </si>
  <si>
    <t>Interessi passivi</t>
  </si>
  <si>
    <t>Manutenzione e riparazioni</t>
  </si>
  <si>
    <t>Forniture per ufficio</t>
  </si>
  <si>
    <t>Imposte sui salari</t>
  </si>
  <si>
    <t>Affitto</t>
  </si>
  <si>
    <t>Ricerca e sviluppo</t>
  </si>
  <si>
    <t>Stipendi e salari</t>
  </si>
  <si>
    <t>Software</t>
  </si>
  <si>
    <t>Viaggio</t>
  </si>
  <si>
    <t>Utilità</t>
  </si>
  <si>
    <t>Web hosting e domini</t>
  </si>
  <si>
    <t>Altro</t>
  </si>
  <si>
    <t>Totale Spese</t>
  </si>
  <si>
    <t>Utile netto al lordo delle imposte</t>
  </si>
  <si>
    <t>Oneri fiscali sul reddito</t>
  </si>
  <si>
    <t>Proventi da Operazioni Continue</t>
  </si>
  <si>
    <t>Netto</t>
  </si>
  <si>
    <t>CLICCA QUI PER CREARE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</si>
</sst>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2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D32"/>
        <bgColor rgb="FF00BD32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4" fontId="1" fillId="0" borderId="0"/>
    <xf numFmtId="0" fontId="8" fillId="0" borderId="0"/>
    <xf numFmtId="0" fontId="9" fillId="0" borderId="0"/>
  </cellStyleXfs>
  <cellXfs count="29">
    <xf numFmtId="0" fontId="0" fillId="0" borderId="0" xfId="0"/>
    <xf numFmtId="0" fontId="0" fillId="0" borderId="1" xfId="0" applyBorder="1"/>
    <xf numFmtId="0" fontId="3" fillId="0" borderId="0" xfId="0" applyFont="1" applyAlignment="1" applyProtection="1">
      <alignment vertical="center"/>
      <protection locked="0"/>
    </xf>
    <xf numFmtId="164" fontId="2" fillId="4" borderId="1" xfId="1" applyNumberFormat="1" applyFont="1" applyFill="1" applyBorder="1"/>
    <xf numFmtId="164" fontId="7" fillId="2" borderId="1" xfId="1" applyNumberFormat="1" applyFont="1" applyFill="1" applyBorder="1"/>
    <xf numFmtId="164" fontId="2" fillId="2" borderId="1" xfId="1" applyNumberFormat="1" applyFont="1" applyFill="1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6" fillId="3" borderId="0" xfId="0" applyFont="1" applyFill="1"/>
    <xf numFmtId="164" fontId="0" fillId="0" borderId="0" xfId="1" applyNumberFormat="1" applyFont="1"/>
    <xf numFmtId="164" fontId="0" fillId="0" borderId="0" xfId="0" applyNumberFormat="1"/>
    <xf numFmtId="164" fontId="6" fillId="3" borderId="0" xfId="0" applyNumberFormat="1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164" fontId="6" fillId="3" borderId="1" xfId="1" applyNumberFormat="1" applyFont="1" applyFill="1" applyBorder="1"/>
    <xf numFmtId="0" fontId="10" fillId="5" borderId="0" xfId="2" applyFont="1" applyFill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4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4">
    <cellStyle name="Collegamento ipertestuale" xfId="2" builtinId="8" hidden="1"/>
    <cellStyle name="Collegamento ipertestuale visitato" xfId="3" builtinId="9" hidden="1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income+statement+template+updated+37129+it&amp;lpa=ic+income+statement+template+updated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workbookViewId="0">
      <selection activeCell="E52" sqref="E52"/>
    </sheetView>
  </sheetViews>
  <sheetFormatPr defaultColWidth="8.875" defaultRowHeight="15" x14ac:dyDescent="0.2"/>
  <cols>
    <col min="1" max="1" width="3.2265625" style="7" customWidth="1"/>
    <col min="2" max="2" width="3.62890625" style="7" customWidth="1"/>
    <col min="3" max="3" width="4.83984375" style="7" customWidth="1"/>
    <col min="4" max="4" width="46.54296875" style="7" customWidth="1"/>
    <col min="5" max="5" width="18.16015625" style="7" customWidth="1"/>
    <col min="6" max="6" width="17.484375" style="7" customWidth="1"/>
    <col min="7" max="7" width="4.16796875" style="7" customWidth="1"/>
  </cols>
  <sheetData>
    <row r="1" spans="2:7" ht="50.1" customHeight="1" x14ac:dyDescent="0.2"/>
    <row r="2" spans="2:7" ht="15" customHeight="1" x14ac:dyDescent="0.2">
      <c r="B2" s="16"/>
      <c r="C2" s="1"/>
      <c r="D2" s="1"/>
      <c r="E2" s="1"/>
      <c r="F2" s="1"/>
      <c r="G2" s="17"/>
    </row>
    <row r="3" spans="2:7" ht="26.1" customHeight="1" x14ac:dyDescent="0.35">
      <c r="B3" s="6"/>
      <c r="C3" s="22" t="s">
        <v>0</v>
      </c>
      <c r="D3" s="20"/>
      <c r="E3" s="23" t="s">
        <v>1</v>
      </c>
      <c r="F3" s="20"/>
      <c r="G3" s="8"/>
    </row>
    <row r="4" spans="2:7" ht="15" customHeight="1" x14ac:dyDescent="0.2">
      <c r="B4" s="6"/>
      <c r="C4" s="24" t="s">
        <v>2</v>
      </c>
      <c r="D4" s="20"/>
      <c r="E4" s="25"/>
      <c r="F4" s="20"/>
      <c r="G4" s="8"/>
    </row>
    <row r="5" spans="2:7" x14ac:dyDescent="0.2">
      <c r="B5" s="6"/>
      <c r="G5" s="8"/>
    </row>
    <row r="6" spans="2:7" ht="18.95" customHeight="1" x14ac:dyDescent="0.25">
      <c r="B6" s="6"/>
      <c r="C6" s="21" t="s">
        <v>3</v>
      </c>
      <c r="D6" s="20"/>
      <c r="E6" s="9">
        <v>2015</v>
      </c>
      <c r="F6" s="9">
        <v>2014</v>
      </c>
      <c r="G6" s="8"/>
    </row>
    <row r="7" spans="2:7" x14ac:dyDescent="0.2">
      <c r="B7" s="6"/>
      <c r="D7" s="2" t="s">
        <v>4</v>
      </c>
      <c r="E7" s="10">
        <v>150000</v>
      </c>
      <c r="F7" s="10">
        <v>175000</v>
      </c>
      <c r="G7" s="8"/>
    </row>
    <row r="8" spans="2:7" x14ac:dyDescent="0.2">
      <c r="B8" s="6"/>
      <c r="D8" s="2" t="s">
        <v>5</v>
      </c>
      <c r="E8" s="10"/>
      <c r="F8" s="10"/>
      <c r="G8" s="8"/>
    </row>
    <row r="9" spans="2:7" x14ac:dyDescent="0.2">
      <c r="B9" s="6"/>
      <c r="D9" s="2" t="s">
        <v>6</v>
      </c>
      <c r="E9" s="10">
        <v>50500</v>
      </c>
      <c r="F9" s="10">
        <v>75000</v>
      </c>
      <c r="G9" s="8"/>
    </row>
    <row r="10" spans="2:7" x14ac:dyDescent="0.2">
      <c r="B10" s="6"/>
      <c r="D10" s="2" t="s">
        <v>7</v>
      </c>
      <c r="E10" s="10"/>
      <c r="F10" s="10"/>
      <c r="G10" s="8"/>
    </row>
    <row r="11" spans="2:7" x14ac:dyDescent="0.2">
      <c r="B11" s="6"/>
      <c r="D11" s="2" t="s">
        <v>8</v>
      </c>
      <c r="E11" s="10"/>
      <c r="F11" s="10"/>
      <c r="G11" s="8"/>
    </row>
    <row r="12" spans="2:7" x14ac:dyDescent="0.2">
      <c r="B12" s="6"/>
      <c r="C12" s="26" t="s">
        <v>9</v>
      </c>
      <c r="D12" s="20"/>
      <c r="E12" s="3">
        <f>SUM(E7:E11)</f>
        <v>200500</v>
      </c>
      <c r="F12" s="3">
        <f>SUM(F7:F11)</f>
        <v>250000</v>
      </c>
      <c r="G12" s="8"/>
    </row>
    <row r="13" spans="2:7" x14ac:dyDescent="0.2">
      <c r="B13" s="6"/>
      <c r="E13" s="11"/>
      <c r="F13" s="11"/>
      <c r="G13" s="8"/>
    </row>
    <row r="14" spans="2:7" ht="18.95" customHeight="1" x14ac:dyDescent="0.25">
      <c r="B14" s="6"/>
      <c r="C14" s="21" t="s">
        <v>10</v>
      </c>
      <c r="D14" s="20"/>
      <c r="E14" s="12"/>
      <c r="F14" s="12"/>
      <c r="G14" s="8"/>
    </row>
    <row r="15" spans="2:7" x14ac:dyDescent="0.2">
      <c r="B15" s="6"/>
      <c r="D15" s="2" t="s">
        <v>11</v>
      </c>
      <c r="E15" s="10">
        <v>500</v>
      </c>
      <c r="F15" s="10">
        <v>450</v>
      </c>
      <c r="G15" s="8"/>
    </row>
    <row r="16" spans="2:7" x14ac:dyDescent="0.2">
      <c r="B16" s="6"/>
      <c r="D16" s="2" t="s">
        <v>12</v>
      </c>
      <c r="E16" s="10"/>
      <c r="F16" s="10"/>
      <c r="G16" s="8"/>
    </row>
    <row r="17" spans="2:7" x14ac:dyDescent="0.2">
      <c r="B17" s="6"/>
      <c r="D17" s="2" t="s">
        <v>13</v>
      </c>
      <c r="E17" s="10"/>
      <c r="F17" s="10"/>
      <c r="G17" s="8"/>
    </row>
    <row r="18" spans="2:7" x14ac:dyDescent="0.2">
      <c r="B18" s="6"/>
      <c r="D18" s="2" t="s">
        <v>14</v>
      </c>
      <c r="E18" s="10">
        <v>55000</v>
      </c>
      <c r="F18" s="10">
        <v>75000</v>
      </c>
      <c r="G18" s="8"/>
    </row>
    <row r="19" spans="2:7" x14ac:dyDescent="0.2">
      <c r="B19" s="6"/>
      <c r="D19" s="2" t="s">
        <v>15</v>
      </c>
      <c r="E19" s="10"/>
      <c r="F19" s="10"/>
      <c r="G19" s="8"/>
    </row>
    <row r="20" spans="2:7" x14ac:dyDescent="0.2">
      <c r="B20" s="6"/>
      <c r="D20" s="2" t="s">
        <v>16</v>
      </c>
      <c r="E20" s="10"/>
      <c r="F20" s="10"/>
      <c r="G20" s="8"/>
    </row>
    <row r="21" spans="2:7" x14ac:dyDescent="0.2">
      <c r="B21" s="6"/>
      <c r="D21" s="2" t="s">
        <v>17</v>
      </c>
      <c r="E21" s="10"/>
      <c r="F21" s="10"/>
      <c r="G21" s="8"/>
    </row>
    <row r="22" spans="2:7" x14ac:dyDescent="0.2">
      <c r="B22" s="6"/>
      <c r="D22" s="2" t="s">
        <v>18</v>
      </c>
      <c r="E22" s="10"/>
      <c r="F22" s="10"/>
      <c r="G22" s="8"/>
    </row>
    <row r="23" spans="2:7" x14ac:dyDescent="0.2">
      <c r="B23" s="6"/>
      <c r="D23" s="2" t="s">
        <v>19</v>
      </c>
      <c r="E23" s="10">
        <v>2000</v>
      </c>
      <c r="F23" s="10">
        <v>2500</v>
      </c>
      <c r="G23" s="8"/>
    </row>
    <row r="24" spans="2:7" x14ac:dyDescent="0.2">
      <c r="B24" s="6"/>
      <c r="D24" s="2" t="s">
        <v>20</v>
      </c>
      <c r="E24" s="10"/>
      <c r="F24" s="10"/>
      <c r="G24" s="8"/>
    </row>
    <row r="25" spans="2:7" x14ac:dyDescent="0.2">
      <c r="B25" s="6"/>
      <c r="D25" s="2" t="s">
        <v>21</v>
      </c>
      <c r="E25" s="10"/>
      <c r="F25" s="10"/>
      <c r="G25" s="8"/>
    </row>
    <row r="26" spans="2:7" x14ac:dyDescent="0.2">
      <c r="B26" s="6"/>
      <c r="D26" s="2" t="s">
        <v>22</v>
      </c>
      <c r="E26" s="10"/>
      <c r="F26" s="10"/>
      <c r="G26" s="8"/>
    </row>
    <row r="27" spans="2:7" x14ac:dyDescent="0.2">
      <c r="B27" s="6"/>
      <c r="D27" s="2" t="s">
        <v>23</v>
      </c>
      <c r="E27" s="10"/>
      <c r="F27" s="10"/>
      <c r="G27" s="8"/>
    </row>
    <row r="28" spans="2:7" x14ac:dyDescent="0.2">
      <c r="B28" s="6"/>
      <c r="D28" s="2" t="s">
        <v>24</v>
      </c>
      <c r="E28" s="10"/>
      <c r="F28" s="10"/>
      <c r="G28" s="8"/>
    </row>
    <row r="29" spans="2:7" x14ac:dyDescent="0.2">
      <c r="B29" s="6"/>
      <c r="D29" s="2" t="s">
        <v>25</v>
      </c>
      <c r="E29" s="10">
        <v>65000</v>
      </c>
      <c r="F29" s="10">
        <v>85000</v>
      </c>
      <c r="G29" s="8"/>
    </row>
    <row r="30" spans="2:7" x14ac:dyDescent="0.2">
      <c r="B30" s="6"/>
      <c r="D30" s="2" t="s">
        <v>26</v>
      </c>
      <c r="E30" s="10"/>
      <c r="F30" s="10"/>
      <c r="G30" s="8"/>
    </row>
    <row r="31" spans="2:7" x14ac:dyDescent="0.2">
      <c r="B31" s="6"/>
      <c r="D31" s="2" t="s">
        <v>27</v>
      </c>
      <c r="E31" s="10"/>
      <c r="F31" s="10"/>
      <c r="G31" s="8"/>
    </row>
    <row r="32" spans="2:7" x14ac:dyDescent="0.2">
      <c r="B32" s="6"/>
      <c r="D32" s="2" t="s">
        <v>28</v>
      </c>
      <c r="E32" s="10"/>
      <c r="F32" s="10"/>
      <c r="G32" s="8"/>
    </row>
    <row r="33" spans="2:7" x14ac:dyDescent="0.2">
      <c r="B33" s="6"/>
      <c r="D33" s="2" t="s">
        <v>29</v>
      </c>
      <c r="E33" s="10"/>
      <c r="F33" s="10"/>
      <c r="G33" s="8"/>
    </row>
    <row r="34" spans="2:7" x14ac:dyDescent="0.2">
      <c r="B34" s="6"/>
      <c r="D34" s="2" t="s">
        <v>30</v>
      </c>
      <c r="E34" s="10"/>
      <c r="F34" s="10"/>
      <c r="G34" s="8"/>
    </row>
    <row r="35" spans="2:7" x14ac:dyDescent="0.2">
      <c r="B35" s="6"/>
      <c r="C35" s="27" t="s">
        <v>31</v>
      </c>
      <c r="D35" s="20"/>
      <c r="E35" s="4">
        <f>SUM(E15:E34)</f>
        <v>122500</v>
      </c>
      <c r="F35" s="4">
        <f>SUM(F15:F34)</f>
        <v>162950</v>
      </c>
      <c r="G35" s="8"/>
    </row>
    <row r="36" spans="2:7" x14ac:dyDescent="0.2">
      <c r="B36" s="6"/>
      <c r="E36" s="11"/>
      <c r="F36" s="11"/>
      <c r="G36" s="8"/>
    </row>
    <row r="37" spans="2:7" x14ac:dyDescent="0.2">
      <c r="B37" s="6"/>
      <c r="D37" s="2" t="s">
        <v>32</v>
      </c>
      <c r="E37" s="10">
        <f>E12-E35</f>
        <v>78000</v>
      </c>
      <c r="F37" s="10">
        <f>F12-F35</f>
        <v>87050</v>
      </c>
      <c r="G37" s="8"/>
    </row>
    <row r="38" spans="2:7" x14ac:dyDescent="0.2">
      <c r="B38" s="6"/>
      <c r="D38" s="2" t="s">
        <v>33</v>
      </c>
      <c r="E38" s="10">
        <f>E37*0.2</f>
        <v>15600</v>
      </c>
      <c r="F38" s="10">
        <f>F37*0.2</f>
        <v>17410</v>
      </c>
      <c r="G38" s="8"/>
    </row>
    <row r="39" spans="2:7" x14ac:dyDescent="0.2">
      <c r="B39" s="6"/>
      <c r="E39" s="11"/>
      <c r="F39" s="11"/>
      <c r="G39" s="8"/>
    </row>
    <row r="40" spans="2:7" x14ac:dyDescent="0.2">
      <c r="B40" s="6"/>
      <c r="C40" s="28" t="s">
        <v>34</v>
      </c>
      <c r="D40" s="20"/>
      <c r="E40" s="5">
        <f>E37-E38</f>
        <v>62400</v>
      </c>
      <c r="F40" s="5">
        <f>F37-F38</f>
        <v>69640</v>
      </c>
      <c r="G40" s="8"/>
    </row>
    <row r="41" spans="2:7" x14ac:dyDescent="0.2">
      <c r="B41" s="6"/>
      <c r="E41" s="11"/>
      <c r="F41" s="11"/>
      <c r="G41" s="8"/>
    </row>
    <row r="42" spans="2:7" ht="18.95" customHeight="1" x14ac:dyDescent="0.25">
      <c r="B42" s="6"/>
      <c r="C42" s="21" t="s">
        <v>35</v>
      </c>
      <c r="D42" s="20"/>
      <c r="E42" s="18">
        <f>E40</f>
        <v>62400</v>
      </c>
      <c r="F42" s="18">
        <f>F40</f>
        <v>69640</v>
      </c>
      <c r="G42" s="8"/>
    </row>
    <row r="43" spans="2:7" x14ac:dyDescent="0.2">
      <c r="B43" s="13"/>
      <c r="C43" s="14"/>
      <c r="D43" s="14"/>
      <c r="E43" s="14"/>
      <c r="F43" s="14"/>
      <c r="G43" s="15"/>
    </row>
    <row r="45" spans="2:7" ht="15" customHeight="1" x14ac:dyDescent="0.2">
      <c r="B45" s="19" t="s">
        <v>36</v>
      </c>
      <c r="C45" s="20"/>
      <c r="D45" s="20"/>
      <c r="E45" s="20"/>
      <c r="F45" s="20"/>
      <c r="G45" s="20"/>
    </row>
    <row r="46" spans="2:7" ht="15" customHeight="1" x14ac:dyDescent="0.2">
      <c r="B46" s="20"/>
      <c r="C46" s="20"/>
      <c r="D46" s="20"/>
      <c r="E46" s="20"/>
      <c r="F46" s="20"/>
      <c r="G46" s="20"/>
    </row>
    <row r="47" spans="2:7" ht="15" customHeight="1" x14ac:dyDescent="0.2">
      <c r="B47" s="20"/>
      <c r="C47" s="20"/>
      <c r="D47" s="20"/>
      <c r="E47" s="20"/>
      <c r="F47" s="20"/>
      <c r="G47" s="20"/>
    </row>
  </sheetData>
  <mergeCells count="11">
    <mergeCell ref="B45:G47"/>
    <mergeCell ref="C42:D42"/>
    <mergeCell ref="C3:D3"/>
    <mergeCell ref="E3:F3"/>
    <mergeCell ref="C4:D4"/>
    <mergeCell ref="E4:F4"/>
    <mergeCell ref="C6:D6"/>
    <mergeCell ref="C12:D12"/>
    <mergeCell ref="C14:D14"/>
    <mergeCell ref="C35:D35"/>
    <mergeCell ref="C40:D40"/>
  </mergeCells>
  <hyperlinks>
    <hyperlink ref="B45" r:id="rId1" xr:uid="{00000000-0004-0000-0000-000000000000}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Passaggio singolo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Microsoft Office User</cp:lastModifiedBy>
  <dcterms:created xsi:type="dcterms:W3CDTF">2016-01-12T18:50:31Z</dcterms:created>
  <dcterms:modified xsi:type="dcterms:W3CDTF">2018-08-19T19:37:42Z</dcterms:modified>
</cp:coreProperties>
</file>