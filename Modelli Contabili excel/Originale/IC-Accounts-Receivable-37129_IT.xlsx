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0" yWindow="370" windowWidth="25580" windowHeight="15380" tabRatio="600" firstSheet="0" activeTab="0" autoFilterDateGrouping="1"/>
  </bookViews>
  <sheets>
    <sheet xmlns:r="http://schemas.openxmlformats.org/officeDocument/2006/relationships" name="Contabilità fornitori" sheetId="1" state="visible" r:id="rId1"/>
    <sheet xmlns:r="http://schemas.openxmlformats.org/officeDocument/2006/relationships" name="Invecchiamento dei crediti" sheetId="2" state="visible" r:id="rId2"/>
    <sheet xmlns:r="http://schemas.openxmlformats.org/officeDocument/2006/relationships" name="razione di non responsabilità -" sheetId="3" state="visible" r:id="rId3"/>
  </sheets>
  <externalReferences>
    <externalReference xmlns:r="http://schemas.openxmlformats.org/officeDocument/2006/relationships" r:id="rId4"/>
  </externalReferences>
  <definedNames>
    <definedName name="REASSESSMENT_DATE">#REF!</definedName>
    <definedName name="Type">'[1]Maintenance Work Order'!#REF!</definedName>
    <definedName name="_xlnm.Print_Area" localSheetId="0">'Contabilità fornitori'!$B$3:$T$27</definedName>
    <definedName name="_xlnm.Print_Area" localSheetId="1">'Invecchiamento dei crediti'!$B$2:$M$30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mm/dd/yy;@"/>
    <numFmt numFmtId="165" formatCode="_(&quot;$&quot;* #,##0.00_);_(&quot;$&quot;* \(#,##0.00\);_(&quot;$&quot;* &quot;-&quot;??_);_(@_)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Century Gothic"/>
      <family val="2"/>
      <b val="1"/>
      <color theme="3" tint="-0.249977111117893"/>
      <sz val="22"/>
    </font>
    <font>
      <name val="Century Gothic"/>
      <family val="2"/>
      <b val="1"/>
      <color theme="1"/>
      <sz val="10"/>
    </font>
    <font>
      <name val="Century Gothic"/>
      <family val="2"/>
      <b val="1"/>
      <color theme="1"/>
      <sz val="11"/>
    </font>
    <font>
      <name val="Century Gothic"/>
      <family val="2"/>
      <color theme="1"/>
      <sz val="10"/>
    </font>
    <font>
      <name val="Century Gothic"/>
      <family val="2"/>
      <i val="1"/>
      <color theme="1"/>
      <sz val="10"/>
    </font>
    <font>
      <name val="Calibri"/>
      <family val="2"/>
      <sz val="8"/>
      <scheme val="minor"/>
    </font>
    <font>
      <name val="Century Gothic"/>
      <family val="1"/>
      <color theme="1"/>
      <sz val="12"/>
    </font>
    <font>
      <name val="Century Gothic"/>
      <family val="1"/>
      <b val="1"/>
      <color theme="1" tint="0.3499862666707358"/>
      <sz val="20"/>
    </font>
    <font>
      <name val="Century Gothic"/>
      <family val="1"/>
      <color theme="1"/>
      <sz val="18"/>
    </font>
    <font>
      <name val="Century Gothic"/>
      <family val="1"/>
      <b val="1"/>
      <color theme="1"/>
      <sz val="9"/>
    </font>
    <font>
      <name val="Century Gothic"/>
      <family val="1"/>
      <color theme="1"/>
      <sz val="10"/>
    </font>
    <font>
      <name val="Century Gothic"/>
      <family val="1"/>
      <b val="1"/>
      <color theme="1"/>
      <sz val="10"/>
    </font>
    <font>
      <name val="Century Gothic"/>
      <family val="1"/>
      <color theme="1"/>
      <sz val="11"/>
    </font>
    <font>
      <name val="Century Gothic"/>
      <family val="1"/>
      <color theme="1"/>
      <sz val="9"/>
    </font>
    <font>
      <name val="Century Gothic"/>
      <family val="1"/>
      <b val="1"/>
      <color theme="1" tint="0.3499862666707358"/>
      <sz val="9"/>
    </font>
    <font>
      <name val="Arial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Century Gothic"/>
      <family val="2"/>
      <b val="1"/>
      <color theme="0"/>
      <sz val="22"/>
    </font>
    <font>
      <name val="Calibri"/>
      <family val="2"/>
      <color theme="10"/>
      <sz val="12"/>
      <scheme val="minor"/>
    </font>
    <font>
      <color rgb="00FFFFFF"/>
      <sz val="2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0000bd32"/>
        <bgColor rgb="0000bd32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249977111117893"/>
      </bottom>
      <diagonal/>
    </border>
    <border>
      <left/>
      <right/>
      <top style="thin">
        <color theme="0" tint="-0.3499862666707358"/>
      </top>
      <bottom style="medium">
        <color theme="0" tint="-0.249977111117893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249977111117893"/>
      </bottom>
      <diagonal/>
    </border>
    <border>
      <left style="thick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5">
    <xf numFmtId="0" fontId="2" fillId="0" borderId="0"/>
    <xf numFmtId="44" fontId="2" fillId="0" borderId="0"/>
    <xf numFmtId="0" fontId="2" fillId="0" borderId="0"/>
    <xf numFmtId="0" fontId="20" fillId="0" borderId="0"/>
    <xf numFmtId="0" fontId="22" fillId="0" borderId="0"/>
  </cellStyleXfs>
  <cellXfs count="10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vertical="center"/>
    </xf>
    <xf numFmtId="0" fontId="10" fillId="2" borderId="0" pivotButton="0" quotePrefix="0" xfId="0"/>
    <xf numFmtId="0" fontId="11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1">
      <alignment vertical="center" wrapText="1"/>
    </xf>
    <xf numFmtId="165" fontId="15" fillId="8" borderId="1" applyAlignment="1" pivotButton="0" quotePrefix="0" xfId="1">
      <alignment vertical="center" wrapText="1"/>
    </xf>
    <xf numFmtId="165" fontId="14" fillId="0" borderId="1" applyAlignment="1" pivotButton="0" quotePrefix="0" xfId="1">
      <alignment vertical="center" wrapText="1"/>
    </xf>
    <xf numFmtId="164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center" vertical="center" wrapText="1"/>
    </xf>
    <xf numFmtId="165" fontId="14" fillId="7" borderId="1" applyAlignment="1" pivotButton="0" quotePrefix="0" xfId="1">
      <alignment vertical="center" wrapText="1"/>
    </xf>
    <xf numFmtId="165" fontId="14" fillId="3" borderId="1" applyAlignment="1" pivotButton="0" quotePrefix="0" xfId="1">
      <alignment vertical="center" wrapText="1"/>
    </xf>
    <xf numFmtId="165" fontId="15" fillId="7" borderId="1" applyAlignment="1" pivotButton="0" quotePrefix="0" xfId="1">
      <alignment vertical="center" wrapText="1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5" fontId="7" fillId="3" borderId="1" applyAlignment="1" pivotButton="0" quotePrefix="0" xfId="1">
      <alignment vertical="center"/>
    </xf>
    <xf numFmtId="165" fontId="7" fillId="4" borderId="1" applyAlignment="1" pivotButton="0" quotePrefix="0" xfId="1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165" fontId="7" fillId="4" borderId="2" applyAlignment="1" pivotButton="0" quotePrefix="0" xfId="1">
      <alignment vertical="center"/>
    </xf>
    <xf numFmtId="165" fontId="15" fillId="8" borderId="1" applyAlignment="1" pivotButton="0" quotePrefix="0" xfId="1">
      <alignment vertical="center"/>
    </xf>
    <xf numFmtId="165" fontId="15" fillId="8" borderId="2" applyAlignment="1" pivotButton="0" quotePrefix="0" xfId="1">
      <alignment vertical="center"/>
    </xf>
    <xf numFmtId="164" fontId="7" fillId="7" borderId="1" applyAlignment="1" pivotButton="0" quotePrefix="0" xfId="1">
      <alignment horizontal="center" vertical="center"/>
    </xf>
    <xf numFmtId="0" fontId="7" fillId="7" borderId="1" applyAlignment="1" pivotButton="0" quotePrefix="0" xfId="1">
      <alignment horizontal="left" vertical="center" indent="1"/>
    </xf>
    <xf numFmtId="0" fontId="7" fillId="7" borderId="1" applyAlignment="1" pivotButton="0" quotePrefix="0" xfId="1">
      <alignment horizontal="center" vertical="center"/>
    </xf>
    <xf numFmtId="165" fontId="7" fillId="7" borderId="1" applyAlignment="1" pivotButton="0" quotePrefix="0" xfId="1">
      <alignment vertical="center"/>
    </xf>
    <xf numFmtId="165" fontId="15" fillId="7" borderId="1" applyAlignment="1" pivotButton="0" quotePrefix="0" xfId="1">
      <alignment vertical="center"/>
    </xf>
    <xf numFmtId="164" fontId="7" fillId="8" borderId="1" applyAlignment="1" pivotButton="0" quotePrefix="0" xfId="1">
      <alignment horizontal="center" vertical="center"/>
    </xf>
    <xf numFmtId="0" fontId="7" fillId="8" borderId="1" applyAlignment="1" pivotButton="0" quotePrefix="0" xfId="1">
      <alignment horizontal="left" vertical="center" indent="1"/>
    </xf>
    <xf numFmtId="0" fontId="7" fillId="8" borderId="1" applyAlignment="1" pivotButton="0" quotePrefix="0" xfId="1">
      <alignment horizontal="center" vertical="center"/>
    </xf>
    <xf numFmtId="165" fontId="7" fillId="8" borderId="1" applyAlignment="1" pivotButton="0" quotePrefix="0" xfId="1">
      <alignment vertical="center"/>
    </xf>
    <xf numFmtId="164" fontId="7" fillId="8" borderId="2" applyAlignment="1" pivotButton="0" quotePrefix="0" xfId="1">
      <alignment horizontal="center" vertical="center"/>
    </xf>
    <xf numFmtId="0" fontId="7" fillId="8" borderId="2" applyAlignment="1" pivotButton="0" quotePrefix="0" xfId="1">
      <alignment horizontal="left" vertical="center" indent="1"/>
    </xf>
    <xf numFmtId="0" fontId="7" fillId="8" borderId="2" applyAlignment="1" pivotButton="0" quotePrefix="0" xfId="1">
      <alignment horizontal="center" vertical="center"/>
    </xf>
    <xf numFmtId="165" fontId="7" fillId="8" borderId="2" applyAlignment="1" pivotButton="0" quotePrefix="0" xfId="1">
      <alignment vertical="center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7" fillId="0" borderId="0" applyAlignment="1" pivotButton="0" quotePrefix="0" xfId="0">
      <alignment vertical="center"/>
    </xf>
    <xf numFmtId="165" fontId="15" fillId="7" borderId="2" applyAlignment="1" pivotButton="0" quotePrefix="0" xfId="1">
      <alignment vertical="center" wrapText="1"/>
    </xf>
    <xf numFmtId="164" fontId="5" fillId="3" borderId="2" applyAlignment="1" pivotButton="0" quotePrefix="0" xfId="0">
      <alignment horizontal="center" vertical="center" wrapText="1"/>
    </xf>
    <xf numFmtId="14" fontId="5" fillId="3" borderId="2" applyAlignment="1" pivotButton="0" quotePrefix="0" xfId="0">
      <alignment horizontal="center" vertical="center" wrapText="1"/>
    </xf>
    <xf numFmtId="0" fontId="2" fillId="0" borderId="0" pivotButton="0" quotePrefix="0" xfId="2"/>
    <xf numFmtId="0" fontId="19" fillId="0" borderId="9" applyAlignment="1" pivotButton="0" quotePrefix="0" xfId="2">
      <alignment horizontal="left" vertical="center" wrapText="1" indent="2"/>
    </xf>
    <xf numFmtId="0" fontId="16" fillId="0" borderId="0" applyAlignment="1" pivotButton="0" quotePrefix="0" xfId="0">
      <alignment vertical="center"/>
    </xf>
    <xf numFmtId="164" fontId="14" fillId="0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 indent="1"/>
    </xf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165" fontId="15" fillId="6" borderId="10" applyAlignment="1" pivotButton="0" quotePrefix="0" xfId="1">
      <alignment vertical="center"/>
    </xf>
    <xf numFmtId="165" fontId="15" fillId="4" borderId="10" applyAlignment="1" pivotButton="0" quotePrefix="0" xfId="1">
      <alignment vertical="center"/>
    </xf>
    <xf numFmtId="0" fontId="0" fillId="0" borderId="0" applyAlignment="1" pivotButton="0" quotePrefix="0" xfId="0">
      <alignment horizontal="center"/>
    </xf>
    <xf numFmtId="0" fontId="14" fillId="0" borderId="2" applyAlignment="1" pivotButton="0" quotePrefix="0" xfId="0">
      <alignment horizontal="left" vertical="center" indent="1"/>
    </xf>
    <xf numFmtId="0" fontId="14" fillId="0" borderId="6" applyAlignment="1" pivotButton="0" quotePrefix="0" xfId="0">
      <alignment horizontal="left" vertical="center" wrapText="1" indent="1"/>
    </xf>
    <xf numFmtId="0" fontId="14" fillId="0" borderId="7" applyAlignment="1" pivotButton="0" quotePrefix="0" xfId="0">
      <alignment horizontal="left" vertical="center" wrapText="1" indent="1"/>
    </xf>
    <xf numFmtId="0" fontId="14" fillId="0" borderId="8" applyAlignment="1" pivotButton="0" quotePrefix="0" xfId="0">
      <alignment horizontal="left" vertical="center" wrapText="1" indent="1"/>
    </xf>
    <xf numFmtId="0" fontId="14" fillId="0" borderId="2" applyAlignment="1" pivotButton="0" quotePrefix="0" xfId="0">
      <alignment horizontal="left" vertical="center" indent="1"/>
    </xf>
    <xf numFmtId="0" fontId="14" fillId="0" borderId="3" applyAlignment="1" pivotButton="0" quotePrefix="0" xfId="0">
      <alignment horizontal="left" vertical="center" indent="1"/>
    </xf>
    <xf numFmtId="0" fontId="14" fillId="0" borderId="4" applyAlignment="1" pivotButton="0" quotePrefix="0" xfId="0">
      <alignment horizontal="left" vertical="center" indent="1"/>
    </xf>
    <xf numFmtId="0" fontId="14" fillId="0" borderId="5" applyAlignment="1" pivotButton="0" quotePrefix="0" xfId="0">
      <alignment horizontal="left" vertical="center" wrapText="1" indent="1"/>
    </xf>
    <xf numFmtId="0" fontId="14" fillId="0" borderId="2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right" vertical="center" indent="1"/>
    </xf>
    <xf numFmtId="0" fontId="13" fillId="0" borderId="0" applyAlignment="1" pivotButton="0" quotePrefix="0" xfId="0">
      <alignment horizontal="left" vertical="center"/>
    </xf>
    <xf numFmtId="0" fontId="21" fillId="5" borderId="0" applyAlignment="1" pivotButton="0" quotePrefix="0" xfId="3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5" fontId="15" fillId="7" borderId="2" applyAlignment="1" pivotButton="0" quotePrefix="0" xfId="1">
      <alignment vertical="center" wrapText="1"/>
    </xf>
    <xf numFmtId="0" fontId="14" fillId="0" borderId="13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0" fillId="0" borderId="8" pivotButton="0" quotePrefix="0" xfId="0"/>
    <xf numFmtId="165" fontId="14" fillId="0" borderId="1" applyAlignment="1" pivotButton="0" quotePrefix="0" xfId="1">
      <alignment vertical="center" wrapText="1"/>
    </xf>
    <xf numFmtId="165" fontId="15" fillId="7" borderId="1" applyAlignment="1" pivotButton="0" quotePrefix="0" xfId="1">
      <alignment vertical="center" wrapText="1"/>
    </xf>
    <xf numFmtId="165" fontId="14" fillId="7" borderId="1" applyAlignment="1" pivotButton="0" quotePrefix="0" xfId="1">
      <alignment vertical="center" wrapText="1"/>
    </xf>
    <xf numFmtId="165" fontId="15" fillId="8" borderId="1" applyAlignment="1" pivotButton="0" quotePrefix="0" xfId="1">
      <alignment vertical="center" wrapText="1"/>
    </xf>
    <xf numFmtId="165" fontId="14" fillId="3" borderId="1" applyAlignment="1" pivotButton="0" quotePrefix="0" xfId="1">
      <alignment vertical="center" wrapText="1"/>
    </xf>
    <xf numFmtId="0" fontId="23" fillId="9" borderId="0" applyAlignment="1" pivotButton="0" quotePrefix="0" xfId="4">
      <alignment horizontal="center" vertical="center"/>
    </xf>
    <xf numFmtId="165" fontId="7" fillId="7" borderId="1" applyAlignment="1" pivotButton="0" quotePrefix="0" xfId="1">
      <alignment vertical="center"/>
    </xf>
    <xf numFmtId="165" fontId="15" fillId="7" borderId="1" applyAlignment="1" pivotButton="0" quotePrefix="0" xfId="1">
      <alignment vertical="center"/>
    </xf>
    <xf numFmtId="165" fontId="7" fillId="3" borderId="1" applyAlignment="1" pivotButton="0" quotePrefix="0" xfId="1">
      <alignment vertical="center"/>
    </xf>
    <xf numFmtId="165" fontId="7" fillId="8" borderId="1" applyAlignment="1" pivotButton="0" quotePrefix="0" xfId="1">
      <alignment vertical="center"/>
    </xf>
    <xf numFmtId="165" fontId="15" fillId="8" borderId="1" applyAlignment="1" pivotButton="0" quotePrefix="0" xfId="1">
      <alignment vertical="center"/>
    </xf>
    <xf numFmtId="165" fontId="7" fillId="4" borderId="1" applyAlignment="1" pivotButton="0" quotePrefix="0" xfId="1">
      <alignment vertical="center"/>
    </xf>
    <xf numFmtId="165" fontId="7" fillId="8" borderId="2" applyAlignment="1" pivotButton="0" quotePrefix="0" xfId="1">
      <alignment vertical="center"/>
    </xf>
    <xf numFmtId="165" fontId="15" fillId="8" borderId="2" applyAlignment="1" pivotButton="0" quotePrefix="0" xfId="1">
      <alignment vertical="center"/>
    </xf>
    <xf numFmtId="165" fontId="7" fillId="4" borderId="2" applyAlignment="1" pivotButton="0" quotePrefix="0" xfId="1">
      <alignment vertical="center"/>
    </xf>
    <xf numFmtId="165" fontId="15" fillId="6" borderId="10" applyAlignment="1" pivotButton="0" quotePrefix="0" xfId="1">
      <alignment vertical="center"/>
    </xf>
    <xf numFmtId="165" fontId="15" fillId="4" borderId="10" applyAlignment="1" pivotButton="0" quotePrefix="0" xfId="1">
      <alignment vertical="center"/>
    </xf>
  </cellXfs>
  <cellStyles count="5">
    <cellStyle name="Обычный" xfId="0" builtinId="0"/>
    <cellStyle name="Денежный" xfId="1" builtinId="4"/>
    <cellStyle name="Normal 2" xfId="2"/>
    <cellStyle name="Гиперссылка" xfId="3" builtinId="8"/>
    <cellStyle name="Hyperlink" xfId="4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accounts+receivable+37129+it&amp;lpa=ic+accounts+receivable+37129+it" TargetMode="External" Id="rId1"/></Relationships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U89"/>
  <sheetViews>
    <sheetView showGridLines="0" tabSelected="1" workbookViewId="0">
      <selection activeCell="B29" sqref="B29:H29"/>
    </sheetView>
  </sheetViews>
  <sheetFormatPr baseColWidth="8" defaultColWidth="8.81640625" defaultRowHeight="14.5"/>
  <cols>
    <col width="3.81640625" customWidth="1" min="1" max="1"/>
    <col width="15.81640625" customWidth="1" min="2" max="3"/>
    <col width="26.36328125" customWidth="1" min="4" max="4"/>
    <col width="15.6328125" customWidth="1" style="71" min="5" max="5"/>
    <col width="15.81640625" customWidth="1" min="6" max="13"/>
    <col width="12.81640625" customWidth="1" min="14" max="20"/>
    <col width="3.81640625" customWidth="1" min="21" max="21"/>
  </cols>
  <sheetData>
    <row r="1" ht="50" customHeight="1"/>
    <row r="2" ht="42" customHeight="1">
      <c r="A2" s="9" t="n"/>
      <c r="B2" s="10" t="inlineStr">
        <is>
          <t>MODELLO CONTABILITÀ CREDITI</t>
        </is>
      </c>
    </row>
    <row r="3" ht="30" customFormat="1" customHeight="1" s="15">
      <c r="A3" s="15" t="n"/>
      <c r="B3" s="12" t="inlineStr">
        <is>
          <t>CONTABILITÀ FORNITORI</t>
        </is>
      </c>
      <c r="C3" s="13" t="n"/>
      <c r="D3" s="13" t="n"/>
      <c r="E3" s="13" t="n"/>
      <c r="F3" s="14" t="n"/>
      <c r="G3" s="14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</row>
    <row r="4" ht="15" customFormat="1" customHeight="1" s="58">
      <c r="A4" s="58" t="n"/>
      <c r="B4" s="31" t="inlineStr">
        <is>
          <t>SOCIETÀ</t>
        </is>
      </c>
      <c r="C4" s="31" t="n"/>
      <c r="D4" s="31" t="n"/>
      <c r="E4" s="31" t="n"/>
      <c r="F4" s="31" t="n"/>
      <c r="G4" s="31" t="n"/>
      <c r="H4" s="32" t="inlineStr">
        <is>
          <t>TOTALE DOVUTO</t>
        </is>
      </c>
      <c r="I4" s="32" t="inlineStr">
        <is>
          <t>DATA CORRENTE</t>
        </is>
      </c>
      <c r="J4" s="31" t="inlineStr">
        <is>
          <t>INFORMAZIONI AGGIUNTIVE</t>
        </is>
      </c>
    </row>
    <row r="5" ht="35" customFormat="1" customHeight="1" s="3" thickBot="1">
      <c r="B5" s="76" t="n"/>
      <c r="C5" s="84" t="n"/>
      <c r="D5" s="84" t="n"/>
      <c r="E5" s="84" t="n"/>
      <c r="F5" s="84" t="n"/>
      <c r="G5" s="85" t="n"/>
      <c r="H5" s="86">
        <f>SUM(H8:H26)</f>
        <v/>
      </c>
      <c r="I5" s="60">
        <f>TODAY()</f>
        <v/>
      </c>
      <c r="J5" s="87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9" t="n"/>
      <c r="U5" s="7" t="n"/>
    </row>
    <row r="6" ht="25" customHeight="1">
      <c r="B6" s="8" t="inlineStr">
        <is>
          <t xml:space="preserve">Immettere tutti i dati nella scheda Contabilità fornitori.  La invecchiamento dei crediti verrà popolato automaticamente.  </t>
        </is>
      </c>
    </row>
    <row r="7" ht="20" customHeight="1">
      <c r="B7" s="16" t="inlineStr">
        <is>
          <t>DATA FATTURA</t>
        </is>
      </c>
      <c r="C7" s="16" t="inlineStr">
        <is>
          <t>NUMERO FATTURA</t>
        </is>
      </c>
      <c r="D7" s="16" t="inlineStr">
        <is>
          <t>CLIENTE</t>
        </is>
      </c>
      <c r="E7" s="16" t="inlineStr">
        <is>
          <t>TERMINI</t>
        </is>
      </c>
      <c r="F7" s="16" t="inlineStr">
        <is>
          <t>IMPORTO TOTALE</t>
        </is>
      </c>
      <c r="G7" s="16" t="inlineStr">
        <is>
          <t>DATA DI SCADENZA</t>
        </is>
      </c>
      <c r="H7" s="16" t="inlineStr">
        <is>
          <t>SALDO DOVUTO</t>
        </is>
      </c>
      <c r="I7" s="17" t="inlineStr">
        <is>
          <t>PAGAMENTO 1</t>
        </is>
      </c>
      <c r="J7" s="17" t="inlineStr">
        <is>
          <t>PAGAMENTO 2</t>
        </is>
      </c>
      <c r="K7" s="17" t="inlineStr">
        <is>
          <t>PAGAMENTO 3</t>
        </is>
      </c>
      <c r="L7" s="17" t="inlineStr">
        <is>
          <t>PAGAMENTO 4</t>
        </is>
      </c>
      <c r="M7" s="17" t="inlineStr">
        <is>
          <t>PAGAMENTO 5</t>
        </is>
      </c>
      <c r="N7" s="17" t="inlineStr">
        <is>
          <t>PAGAMENTO 6</t>
        </is>
      </c>
      <c r="O7" s="17" t="inlineStr">
        <is>
          <t>PAGAMENTO 7</t>
        </is>
      </c>
      <c r="P7" s="17" t="inlineStr">
        <is>
          <t>PAGAMENTO 8</t>
        </is>
      </c>
      <c r="Q7" s="17" t="inlineStr">
        <is>
          <t>PAGAMENTO 9</t>
        </is>
      </c>
      <c r="R7" s="17" t="inlineStr">
        <is>
          <t>PAGAMENTO 10</t>
        </is>
      </c>
      <c r="S7" s="17" t="inlineStr">
        <is>
          <t>PAGAMENTO 11</t>
        </is>
      </c>
      <c r="T7" s="17" t="inlineStr">
        <is>
          <t>PAGAMENTO 12</t>
        </is>
      </c>
    </row>
    <row r="8" ht="22" customHeight="1">
      <c r="B8" s="18" t="n"/>
      <c r="C8" s="19" t="n"/>
      <c r="D8" s="19" t="n"/>
      <c r="E8" s="20" t="n"/>
      <c r="F8" s="90" t="n"/>
      <c r="G8" s="18" t="n"/>
      <c r="H8" s="91">
        <f>F8-SUM(I8:T8)</f>
        <v/>
      </c>
      <c r="I8" s="90" t="n"/>
      <c r="J8" s="90" t="n"/>
      <c r="K8" s="90" t="n"/>
      <c r="L8" s="90" t="n"/>
      <c r="M8" s="90" t="n"/>
      <c r="N8" s="90" t="n"/>
      <c r="O8" s="90" t="n"/>
      <c r="P8" s="90" t="n"/>
      <c r="Q8" s="90" t="n"/>
      <c r="R8" s="90" t="n"/>
      <c r="S8" s="90" t="n"/>
      <c r="T8" s="90" t="n"/>
    </row>
    <row r="9" ht="22" customHeight="1">
      <c r="B9" s="24" t="n"/>
      <c r="C9" s="25" t="n"/>
      <c r="D9" s="25" t="n"/>
      <c r="E9" s="26" t="n"/>
      <c r="F9" s="92" t="n"/>
      <c r="G9" s="24" t="n"/>
      <c r="H9" s="93">
        <f>F9-SUM(I9:T9)</f>
        <v/>
      </c>
      <c r="I9" s="94" t="n"/>
      <c r="J9" s="94" t="n"/>
      <c r="K9" s="94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</row>
    <row r="10" ht="22" customHeight="1">
      <c r="B10" s="18" t="n"/>
      <c r="C10" s="19" t="n"/>
      <c r="D10" s="19" t="n"/>
      <c r="E10" s="20" t="n"/>
      <c r="F10" s="90" t="n"/>
      <c r="G10" s="18" t="n"/>
      <c r="H10" s="91">
        <f>F10-SUM(I10:T10)</f>
        <v/>
      </c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0" t="n"/>
      <c r="S10" s="90" t="n"/>
      <c r="T10" s="90" t="n"/>
    </row>
    <row r="11" ht="22" customHeight="1">
      <c r="B11" s="24" t="n"/>
      <c r="C11" s="25" t="n"/>
      <c r="D11" s="25" t="n"/>
      <c r="E11" s="26" t="n"/>
      <c r="F11" s="92" t="n"/>
      <c r="G11" s="24" t="n"/>
      <c r="H11" s="93">
        <f>F11-SUM(I11:T11)</f>
        <v/>
      </c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</row>
    <row r="12" ht="22" customHeight="1">
      <c r="B12" s="18" t="n"/>
      <c r="C12" s="19" t="n"/>
      <c r="D12" s="19" t="n"/>
      <c r="E12" s="20" t="n"/>
      <c r="F12" s="90" t="n"/>
      <c r="G12" s="18" t="n"/>
      <c r="H12" s="91">
        <f>F12-SUM(I12:T12)</f>
        <v/>
      </c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</row>
    <row r="13" ht="22" customHeight="1">
      <c r="B13" s="24" t="n"/>
      <c r="C13" s="25" t="n"/>
      <c r="D13" s="25" t="n"/>
      <c r="E13" s="26" t="n"/>
      <c r="F13" s="92" t="n"/>
      <c r="G13" s="24" t="n"/>
      <c r="H13" s="93">
        <f>F13-SUM(I13:T13)</f>
        <v/>
      </c>
      <c r="I13" s="94" t="n"/>
      <c r="J13" s="94" t="n"/>
      <c r="K13" s="94" t="n"/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</row>
    <row r="14" ht="22" customHeight="1">
      <c r="B14" s="18" t="n"/>
      <c r="C14" s="19" t="n"/>
      <c r="D14" s="19" t="n"/>
      <c r="E14" s="20" t="n"/>
      <c r="F14" s="90" t="n"/>
      <c r="G14" s="18" t="n"/>
      <c r="H14" s="91">
        <f>F14-SUM(I14:T14)</f>
        <v/>
      </c>
      <c r="I14" s="90" t="n"/>
      <c r="J14" s="90" t="n"/>
      <c r="K14" s="90" t="n"/>
      <c r="L14" s="90" t="n"/>
      <c r="M14" s="90" t="n"/>
      <c r="N14" s="90" t="n"/>
      <c r="O14" s="90" t="n"/>
      <c r="P14" s="90" t="n"/>
      <c r="Q14" s="90" t="n"/>
      <c r="R14" s="90" t="n"/>
      <c r="S14" s="90" t="n"/>
      <c r="T14" s="90" t="n"/>
    </row>
    <row r="15" ht="22" customHeight="1">
      <c r="B15" s="24" t="n"/>
      <c r="C15" s="25" t="n"/>
      <c r="D15" s="25" t="n"/>
      <c r="E15" s="26" t="n"/>
      <c r="F15" s="92" t="n"/>
      <c r="G15" s="24" t="n"/>
      <c r="H15" s="93">
        <f>F15-SUM(I15:T15)</f>
        <v/>
      </c>
      <c r="I15" s="94" t="n"/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</row>
    <row r="16" ht="22" customHeight="1">
      <c r="B16" s="18" t="n"/>
      <c r="C16" s="19" t="n"/>
      <c r="D16" s="19" t="n"/>
      <c r="E16" s="20" t="n"/>
      <c r="F16" s="90" t="n"/>
      <c r="G16" s="18" t="n"/>
      <c r="H16" s="91">
        <f>F16-SUM(I16:T16)</f>
        <v/>
      </c>
      <c r="I16" s="90" t="n"/>
      <c r="J16" s="90" t="n"/>
      <c r="K16" s="90" t="n"/>
      <c r="L16" s="90" t="n"/>
      <c r="M16" s="90" t="n"/>
      <c r="N16" s="90" t="n"/>
      <c r="O16" s="90" t="n"/>
      <c r="P16" s="90" t="n"/>
      <c r="Q16" s="90" t="n"/>
      <c r="R16" s="90" t="n"/>
      <c r="S16" s="90" t="n"/>
      <c r="T16" s="90" t="n"/>
    </row>
    <row r="17" ht="22" customHeight="1">
      <c r="B17" s="24" t="n"/>
      <c r="C17" s="25" t="n"/>
      <c r="D17" s="25" t="n"/>
      <c r="E17" s="26" t="n"/>
      <c r="F17" s="92" t="n"/>
      <c r="G17" s="24" t="n"/>
      <c r="H17" s="93">
        <f>F17-SUM(I17:T17)</f>
        <v/>
      </c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</row>
    <row r="18" ht="22" customHeight="1">
      <c r="B18" s="18" t="n"/>
      <c r="C18" s="19" t="n"/>
      <c r="D18" s="19" t="n"/>
      <c r="E18" s="20" t="n"/>
      <c r="F18" s="90" t="n"/>
      <c r="G18" s="18" t="n"/>
      <c r="H18" s="91">
        <f>F18-SUM(I18:T18)</f>
        <v/>
      </c>
      <c r="I18" s="90" t="n"/>
      <c r="J18" s="90" t="n"/>
      <c r="K18" s="90" t="n"/>
      <c r="L18" s="90" t="n"/>
      <c r="M18" s="90" t="n"/>
      <c r="N18" s="90" t="n"/>
      <c r="O18" s="90" t="n"/>
      <c r="P18" s="90" t="n"/>
      <c r="Q18" s="90" t="n"/>
      <c r="R18" s="90" t="n"/>
      <c r="S18" s="90" t="n"/>
      <c r="T18" s="90" t="n"/>
    </row>
    <row r="19" ht="22" customHeight="1">
      <c r="B19" s="24" t="n"/>
      <c r="C19" s="25" t="n"/>
      <c r="D19" s="25" t="n"/>
      <c r="E19" s="26" t="n"/>
      <c r="F19" s="92" t="n"/>
      <c r="G19" s="24" t="n"/>
      <c r="H19" s="93">
        <f>F19-SUM(I19:T19)</f>
        <v/>
      </c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</row>
    <row r="20" ht="22" customHeight="1">
      <c r="B20" s="18" t="n"/>
      <c r="C20" s="19" t="n"/>
      <c r="D20" s="19" t="n"/>
      <c r="E20" s="20" t="n"/>
      <c r="F20" s="90" t="n"/>
      <c r="G20" s="18" t="n"/>
      <c r="H20" s="91">
        <f>F20-SUM(I20:T20)</f>
        <v/>
      </c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</row>
    <row r="21" ht="22" customHeight="1">
      <c r="B21" s="24" t="n"/>
      <c r="C21" s="25" t="n"/>
      <c r="D21" s="25" t="n"/>
      <c r="E21" s="26" t="n"/>
      <c r="F21" s="92" t="n"/>
      <c r="G21" s="24" t="n"/>
      <c r="H21" s="93">
        <f>F21-SUM(I21:T21)</f>
        <v/>
      </c>
      <c r="I21" s="94" t="n"/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</row>
    <row r="22" ht="22" customHeight="1">
      <c r="B22" s="18" t="n"/>
      <c r="C22" s="19" t="n"/>
      <c r="D22" s="19" t="n"/>
      <c r="E22" s="20" t="n"/>
      <c r="F22" s="90" t="n"/>
      <c r="G22" s="18" t="n"/>
      <c r="H22" s="91">
        <f>F22-SUM(I22:T22)</f>
        <v/>
      </c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0" t="n"/>
      <c r="S22" s="90" t="n"/>
      <c r="T22" s="90" t="n"/>
    </row>
    <row r="23" ht="22" customHeight="1">
      <c r="B23" s="24" t="n"/>
      <c r="C23" s="25" t="n"/>
      <c r="D23" s="25" t="n"/>
      <c r="E23" s="26" t="n"/>
      <c r="F23" s="92" t="n"/>
      <c r="G23" s="24" t="n"/>
      <c r="H23" s="93">
        <f>F23-SUM(I23:T23)</f>
        <v/>
      </c>
      <c r="I23" s="94" t="n"/>
      <c r="J23" s="94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</row>
    <row r="24" ht="22" customHeight="1">
      <c r="B24" s="18" t="n"/>
      <c r="C24" s="19" t="n"/>
      <c r="D24" s="19" t="n"/>
      <c r="E24" s="20" t="n"/>
      <c r="F24" s="90" t="n"/>
      <c r="G24" s="18" t="n"/>
      <c r="H24" s="91">
        <f>F24-SUM(I24:T24)</f>
        <v/>
      </c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0" t="n"/>
      <c r="S24" s="90" t="n"/>
      <c r="T24" s="90" t="n"/>
    </row>
    <row r="25" ht="22" customHeight="1">
      <c r="B25" s="24" t="n"/>
      <c r="C25" s="25" t="n"/>
      <c r="D25" s="25" t="n"/>
      <c r="E25" s="26" t="n"/>
      <c r="F25" s="92" t="n"/>
      <c r="G25" s="24" t="n"/>
      <c r="H25" s="93">
        <f>F25-SUM(I25:T25)</f>
        <v/>
      </c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</row>
    <row r="26" ht="22" customHeight="1">
      <c r="B26" s="18" t="n"/>
      <c r="C26" s="19" t="n"/>
      <c r="D26" s="19" t="n"/>
      <c r="E26" s="20" t="n"/>
      <c r="F26" s="90" t="n"/>
      <c r="G26" s="18" t="n"/>
      <c r="H26" s="91">
        <f>F26-SUM(I26:T26)</f>
        <v/>
      </c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0" t="n"/>
      <c r="S26" s="90" t="n"/>
      <c r="T26" s="90" t="n"/>
    </row>
    <row r="27" ht="22" customHeight="1">
      <c r="B27" s="24" t="n"/>
      <c r="C27" s="25" t="n"/>
      <c r="D27" s="25" t="n"/>
      <c r="E27" s="26" t="n"/>
      <c r="F27" s="92" t="n"/>
      <c r="G27" s="24" t="n"/>
      <c r="H27" s="93">
        <f>F27-SUM(I27:T27)</f>
        <v/>
      </c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</row>
    <row r="28"/>
    <row r="29" ht="50" customHeight="1">
      <c r="B29" s="95" t="inlineStr">
        <is>
          <t>CLICCA QUI PER CREARE IN SMARTSHEET</t>
        </is>
      </c>
    </row>
    <row r="30"/>
    <row r="31">
      <c r="E31" s="67" t="n"/>
    </row>
    <row r="32">
      <c r="E32" s="67" t="n"/>
    </row>
    <row r="33">
      <c r="C33" s="71" t="n"/>
    </row>
    <row r="34">
      <c r="E34" s="67" t="n"/>
    </row>
    <row r="35">
      <c r="E35" s="67" t="n"/>
    </row>
    <row r="36">
      <c r="E36" s="67" t="n"/>
    </row>
    <row r="37">
      <c r="E37" s="67" t="n"/>
    </row>
    <row r="38">
      <c r="E38" s="67" t="n"/>
    </row>
    <row r="39">
      <c r="E39" s="67" t="n"/>
    </row>
    <row r="40">
      <c r="E40" s="67" t="n"/>
    </row>
    <row r="41">
      <c r="E41" s="67" t="n"/>
    </row>
    <row r="42">
      <c r="E42" s="67" t="n"/>
    </row>
    <row r="43">
      <c r="E43" s="67" t="n"/>
    </row>
    <row r="44">
      <c r="E44" s="67" t="n"/>
    </row>
    <row r="45">
      <c r="E45" s="67" t="n"/>
    </row>
    <row r="46">
      <c r="E46" s="67" t="n"/>
    </row>
    <row r="47">
      <c r="E47" s="67" t="n"/>
    </row>
    <row r="48">
      <c r="E48" s="67" t="n"/>
    </row>
    <row r="49">
      <c r="E49" s="67" t="n"/>
    </row>
    <row r="50">
      <c r="E50" s="67" t="n"/>
    </row>
    <row r="51">
      <c r="E51" s="67" t="n"/>
    </row>
    <row r="52">
      <c r="E52" s="67" t="n"/>
    </row>
    <row r="53">
      <c r="E53" s="67" t="n"/>
    </row>
    <row r="54">
      <c r="E54" s="67" t="n"/>
    </row>
    <row r="55">
      <c r="E55" s="67" t="n"/>
    </row>
    <row r="56">
      <c r="E56" s="67" t="n"/>
    </row>
    <row r="57">
      <c r="E57" s="67" t="n"/>
    </row>
    <row r="58">
      <c r="E58" s="67" t="n"/>
    </row>
    <row r="59">
      <c r="E59" s="67" t="n"/>
    </row>
    <row r="60">
      <c r="E60" s="67" t="n"/>
    </row>
    <row r="61">
      <c r="E61" s="67" t="n"/>
    </row>
    <row r="62">
      <c r="E62" s="67" t="n"/>
    </row>
    <row r="63">
      <c r="E63" s="67" t="n"/>
    </row>
    <row r="64">
      <c r="E64" s="67" t="n"/>
    </row>
    <row r="65">
      <c r="E65" s="67" t="n"/>
    </row>
    <row r="66">
      <c r="E66" s="67" t="n"/>
    </row>
    <row r="67">
      <c r="E67" s="67" t="n"/>
    </row>
    <row r="68">
      <c r="E68" s="67" t="n"/>
    </row>
    <row r="69">
      <c r="E69" s="67" t="n"/>
    </row>
    <row r="70">
      <c r="E70" s="67" t="n"/>
    </row>
    <row r="71">
      <c r="E71" s="67" t="n"/>
    </row>
    <row r="72">
      <c r="E72" s="67" t="n"/>
    </row>
    <row r="73">
      <c r="E73" s="67" t="n"/>
    </row>
    <row r="74">
      <c r="E74" s="67" t="n"/>
    </row>
    <row r="75">
      <c r="E75" s="67" t="n"/>
    </row>
    <row r="76">
      <c r="E76" s="67" t="n"/>
    </row>
    <row r="77">
      <c r="E77" s="67" t="n"/>
    </row>
    <row r="78">
      <c r="E78" s="67" t="n"/>
    </row>
    <row r="79">
      <c r="E79" s="67" t="n"/>
    </row>
    <row r="80">
      <c r="E80" s="67" t="n"/>
    </row>
    <row r="81">
      <c r="E81" s="67" t="n"/>
    </row>
    <row r="82">
      <c r="E82" s="67" t="n"/>
    </row>
    <row r="83">
      <c r="E83" s="67" t="n"/>
    </row>
    <row r="84">
      <c r="E84" s="67" t="n"/>
    </row>
    <row r="85">
      <c r="E85" s="67" t="n"/>
    </row>
    <row r="86">
      <c r="E86" s="67" t="n"/>
    </row>
    <row r="87">
      <c r="E87" s="67" t="n"/>
    </row>
    <row r="88">
      <c r="E88" s="67" t="n"/>
    </row>
    <row r="89">
      <c r="E89" s="67" t="n"/>
    </row>
  </sheetData>
  <mergeCells count="4">
    <mergeCell ref="C33:L33"/>
    <mergeCell ref="B29:H29"/>
    <mergeCell ref="B5:G5"/>
    <mergeCell ref="J5:T5"/>
  </mergeCells>
  <hyperlinks>
    <hyperlink xmlns:r="http://schemas.openxmlformats.org/officeDocument/2006/relationships" ref="B29" r:id="rId1"/>
  </hyperlinks>
  <pageMargins left="0.25" right="0.25" top="0.25" bottom="0.25" header="0" footer="0"/>
  <pageSetup orientation="landscape" paperSize="3" scale="68" fitToHeight="0" horizontalDpi="1200" verticalDpi="1200"/>
</worksheet>
</file>

<file path=xl/worksheets/sheet2.xml><?xml version="1.0" encoding="utf-8"?>
<worksheet xmlns="http://schemas.openxmlformats.org/spreadsheetml/2006/main">
  <sheetPr>
    <tabColor theme="3" tint="0.7999816888943144"/>
    <outlinePr summaryBelow="1" summaryRight="1"/>
    <pageSetUpPr fitToPage="1"/>
  </sheetPr>
  <dimension ref="A1:T139"/>
  <sheetViews>
    <sheetView showGridLines="0" workbookViewId="0">
      <selection activeCell="H36" sqref="H36"/>
    </sheetView>
  </sheetViews>
  <sheetFormatPr baseColWidth="8" defaultColWidth="8.81640625" defaultRowHeight="14.5"/>
  <cols>
    <col width="3.81640625" customWidth="1" min="1" max="1"/>
    <col width="15.81640625" customWidth="1" style="71" min="2" max="3"/>
    <col width="26.36328125" customWidth="1" min="4" max="4"/>
    <col width="16.81640625" customWidth="1" min="5" max="5"/>
    <col width="15.81640625" customWidth="1" min="6" max="13"/>
    <col width="3.81640625" customWidth="1" min="14" max="14"/>
  </cols>
  <sheetData>
    <row r="1" ht="42" customHeight="1">
      <c r="A1" s="9" t="n"/>
      <c r="B1" s="10" t="inlineStr">
        <is>
          <t>MODELLO CONTABILITÀ CREDITI</t>
        </is>
      </c>
    </row>
    <row r="2" ht="30" customFormat="1" customHeight="1" s="57">
      <c r="B2" s="12" t="inlineStr">
        <is>
          <t>INVECCHIAMENTO DEI CREDITI</t>
        </is>
      </c>
      <c r="C2" s="54" t="n"/>
      <c r="D2" s="54" t="n"/>
      <c r="E2" s="55" t="n"/>
      <c r="F2" s="56" t="n"/>
      <c r="G2" s="57" t="n"/>
      <c r="H2" s="57" t="n"/>
    </row>
    <row r="3" ht="15" customFormat="1" customHeight="1" s="58">
      <c r="B3" s="31" t="inlineStr">
        <is>
          <t>SOCIETÀ</t>
        </is>
      </c>
      <c r="C3" s="31" t="n"/>
      <c r="D3" s="31" t="n"/>
      <c r="E3" s="31" t="n"/>
      <c r="F3" s="31" t="n"/>
      <c r="G3" s="31" t="n"/>
      <c r="H3" s="32" t="inlineStr">
        <is>
          <t>DATA CORRENTE</t>
        </is>
      </c>
      <c r="I3" s="31" t="inlineStr">
        <is>
          <t>INFORMAZIONI AGGIUNTIVE</t>
        </is>
      </c>
    </row>
    <row r="4" ht="35" customFormat="1" customHeight="1" s="3" thickBot="1">
      <c r="B4" s="77" t="n"/>
      <c r="C4" s="84" t="n"/>
      <c r="D4" s="84" t="n"/>
      <c r="E4" s="84" t="n"/>
      <c r="F4" s="84" t="n"/>
      <c r="G4" s="84" t="n"/>
      <c r="H4" s="61">
        <f>TODAY()</f>
        <v/>
      </c>
      <c r="I4" s="79" t="n"/>
      <c r="J4" s="84" t="n"/>
      <c r="K4" s="84" t="n"/>
      <c r="L4" s="84" t="n"/>
      <c r="M4" s="85" t="n"/>
      <c r="T4" s="7" t="n"/>
    </row>
    <row r="5" ht="25" customHeight="1">
      <c r="B5" s="8" t="inlineStr">
        <is>
          <t xml:space="preserve">Immettere tutti i dati nella scheda Contabilità fornitori.  La invecchiamento dei crediti verrà popolato automaticamente.  </t>
        </is>
      </c>
    </row>
    <row r="6" ht="20" customFormat="1" customHeight="1" s="2">
      <c r="B6" s="16" t="inlineStr">
        <is>
          <t>DATA FATTURA</t>
        </is>
      </c>
      <c r="C6" s="16" t="inlineStr">
        <is>
          <t>NUMERO FATTURA</t>
        </is>
      </c>
      <c r="D6" s="16" t="inlineStr">
        <is>
          <t>CLIENTE</t>
        </is>
      </c>
      <c r="E6" s="16" t="inlineStr">
        <is>
          <t>TERMINI</t>
        </is>
      </c>
      <c r="F6" s="16" t="inlineStr">
        <is>
          <t>IMPORTO TOTALE</t>
        </is>
      </c>
      <c r="G6" s="16" t="inlineStr">
        <is>
          <t>DATA DI SCADENZA</t>
        </is>
      </c>
      <c r="H6" s="16" t="inlineStr">
        <is>
          <t>SALDO DOVUTO</t>
        </is>
      </c>
      <c r="I6" s="33" t="inlineStr">
        <is>
          <t>CORRENTE</t>
        </is>
      </c>
      <c r="J6" s="33" t="inlineStr">
        <is>
          <t>1-30 ANNI</t>
        </is>
      </c>
      <c r="K6" s="33" t="inlineStr">
        <is>
          <t>31-60 ANNI</t>
        </is>
      </c>
      <c r="L6" s="33" t="inlineStr">
        <is>
          <t>61-90 ANNI</t>
        </is>
      </c>
      <c r="M6" s="33" t="inlineStr">
        <is>
          <t>ETÀ &gt; 91 ANNI</t>
        </is>
      </c>
    </row>
    <row r="7" ht="22" customHeight="1">
      <c r="B7" s="41">
        <f>'Contabilità fornitori'!B8</f>
        <v/>
      </c>
      <c r="C7" s="42">
        <f>'Contabilità fornitori'!C8</f>
        <v/>
      </c>
      <c r="D7" s="42">
        <f>'Contabilità fornitori'!D8</f>
        <v/>
      </c>
      <c r="E7" s="43">
        <f>'Contabilità fornitori'!E8</f>
        <v/>
      </c>
      <c r="F7" s="96">
        <f>'Contabilità fornitori'!F8</f>
        <v/>
      </c>
      <c r="G7" s="41">
        <f>'Contabilità fornitori'!G8</f>
        <v/>
      </c>
      <c r="H7" s="97">
        <f>'Contabilità fornitori'!H8</f>
        <v/>
      </c>
      <c r="I7" s="98">
        <f>IFERROR(IF($G7&gt;=$H$4,$H7,""), IF($D7&gt;=$H$4,$H7,""))</f>
        <v/>
      </c>
      <c r="J7" s="98">
        <f>IFERROR(IF(AND($H$4-$G7&gt;=1,$H$4-$G7&lt;=30),$H7,""),IF(AND($H$4-$D7&gt;=1,$H$4-$D7&lt;=30),$H7,""))</f>
        <v/>
      </c>
      <c r="K7" s="98">
        <f>IFERROR(IF(AND($H$4-$G7&gt;=31,$H$4-$G7&lt;=60),$H7,""),IF(AND($H$4-$D7&gt;=31,$H$4-$D7&lt;=60),$H7,""))</f>
        <v/>
      </c>
      <c r="L7" s="98">
        <f>IFERROR(IF(AND($H$4-$G7&gt;=61,$H$4-$G7&lt;=90),$H7,""),IF(AND($H$4-$D7&gt;=61,$H$4-$D7&lt;=90),$H7,""))</f>
        <v/>
      </c>
      <c r="M7" s="98">
        <f>IFERROR(IF(AND($G7&gt;0,$H$4-$G7&gt;=91),$H7,""),IF(AND($D7&gt;0,$H$4-$D7&gt;=91),$H7,""))</f>
        <v/>
      </c>
    </row>
    <row r="8" ht="22" customHeight="1">
      <c r="B8" s="46">
        <f>'Contabilità fornitori'!B9</f>
        <v/>
      </c>
      <c r="C8" s="47">
        <f>'Contabilità fornitori'!C9</f>
        <v/>
      </c>
      <c r="D8" s="47">
        <f>'Contabilità fornitori'!D9</f>
        <v/>
      </c>
      <c r="E8" s="48">
        <f>'Contabilità fornitori'!E9</f>
        <v/>
      </c>
      <c r="F8" s="99">
        <f>'Contabilità fornitori'!F9</f>
        <v/>
      </c>
      <c r="G8" s="46">
        <f>'Contabilità fornitori'!G9</f>
        <v/>
      </c>
      <c r="H8" s="100">
        <f>'Contabilità fornitori'!H9</f>
        <v/>
      </c>
      <c r="I8" s="101">
        <f>IFERROR(IF($G8&gt;=$H$4,$H8,""), IF($D8&gt;=$H$4,$H8,""))</f>
        <v/>
      </c>
      <c r="J8" s="101">
        <f>IFERROR(IF(AND($H$4-$G8&gt;=1,$H$4-$G8&lt;=30),$H8,""),IF(AND($H$4-$D8&gt;=1,$H$4-$D8&lt;=30),$H8,""))</f>
        <v/>
      </c>
      <c r="K8" s="101">
        <f>IFERROR(IF(AND($H$4-$G8&gt;=31,$H$4-$G8&lt;=60),$H8,""),IF(AND($H$4-$D8&gt;=31,$H$4-$D8&lt;=60),$H8,""))</f>
        <v/>
      </c>
      <c r="L8" s="101">
        <f>IFERROR(IF(AND($H$4-$G8&gt;=61,$H$4-$G8&lt;=90),$H8,""),IF(AND($H$4-$D8&gt;=61,$H$4-$D8&lt;=90),$H8,""))</f>
        <v/>
      </c>
      <c r="M8" s="101">
        <f>IFERROR(IF(AND($G8&gt;0,$H$4-$G8&gt;=91),$H8,""),IF(AND($D8&gt;0,$H$4-$D8&gt;=91),$H8,""))</f>
        <v/>
      </c>
    </row>
    <row r="9" ht="22" customHeight="1">
      <c r="B9" s="41">
        <f>'Contabilità fornitori'!B10</f>
        <v/>
      </c>
      <c r="C9" s="42">
        <f>'Contabilità fornitori'!C10</f>
        <v/>
      </c>
      <c r="D9" s="42">
        <f>'Contabilità fornitori'!D10</f>
        <v/>
      </c>
      <c r="E9" s="43">
        <f>'Contabilità fornitori'!E10</f>
        <v/>
      </c>
      <c r="F9" s="96">
        <f>'Contabilità fornitori'!F10</f>
        <v/>
      </c>
      <c r="G9" s="41">
        <f>'Contabilità fornitori'!G10</f>
        <v/>
      </c>
      <c r="H9" s="97">
        <f>'Contabilità fornitori'!H10</f>
        <v/>
      </c>
      <c r="I9" s="98">
        <f>IFERROR(IF($G9&gt;=$H$4,$H9,""), IF($D9&gt;=$H$4,$H9,""))</f>
        <v/>
      </c>
      <c r="J9" s="98">
        <f>IFERROR(IF(AND($H$4-$G9&gt;=1,$H$4-$G9&lt;=30),$H9,""),IF(AND($H$4-$D9&gt;=1,$H$4-$D9&lt;=30),$H9,""))</f>
        <v/>
      </c>
      <c r="K9" s="98">
        <f>IFERROR(IF(AND($H$4-$G9&gt;=31,$H$4-$G9&lt;=60),$H9,""),IF(AND($H$4-$D9&gt;=31,$H$4-$D9&lt;=60),$H9,""))</f>
        <v/>
      </c>
      <c r="L9" s="98">
        <f>IFERROR(IF(AND($H$4-$G9&gt;=61,$H$4-$G9&lt;=90),$H9,""),IF(AND($H$4-$D9&gt;=61,$H$4-$D9&lt;=90),$H9,""))</f>
        <v/>
      </c>
      <c r="M9" s="98">
        <f>IFERROR(IF(AND($G9&gt;0,$H$4-$G9&gt;=91),$H9,""),IF(AND($D9&gt;0,$H$4-$D9&gt;=91),$H9,""))</f>
        <v/>
      </c>
    </row>
    <row r="10" ht="22" customHeight="1">
      <c r="B10" s="46">
        <f>'Contabilità fornitori'!B11</f>
        <v/>
      </c>
      <c r="C10" s="47">
        <f>'Contabilità fornitori'!C11</f>
        <v/>
      </c>
      <c r="D10" s="47">
        <f>'Contabilità fornitori'!D11</f>
        <v/>
      </c>
      <c r="E10" s="48">
        <f>'Contabilità fornitori'!E11</f>
        <v/>
      </c>
      <c r="F10" s="99">
        <f>'Contabilità fornitori'!F11</f>
        <v/>
      </c>
      <c r="G10" s="46">
        <f>'Contabilità fornitori'!G11</f>
        <v/>
      </c>
      <c r="H10" s="100">
        <f>'Contabilità fornitori'!H11</f>
        <v/>
      </c>
      <c r="I10" s="101">
        <f>IFERROR(IF($G10&gt;=$H$4,$H10,""), IF($D10&gt;=$H$4,$H10,""))</f>
        <v/>
      </c>
      <c r="J10" s="101">
        <f>IFERROR(IF(AND($H$4-$G10&gt;=1,$H$4-$G10&lt;=30),$H10,""),IF(AND($H$4-$D10&gt;=1,$H$4-$D10&lt;=30),$H10,""))</f>
        <v/>
      </c>
      <c r="K10" s="101">
        <f>IFERROR(IF(AND($H$4-$G10&gt;=31,$H$4-$G10&lt;=60),$H10,""),IF(AND($H$4-$D10&gt;=31,$H$4-$D10&lt;=60),$H10,""))</f>
        <v/>
      </c>
      <c r="L10" s="101">
        <f>IFERROR(IF(AND($H$4-$G10&gt;=61,$H$4-$G10&lt;=90),$H10,""),IF(AND($H$4-$D10&gt;=61,$H$4-$D10&lt;=90),$H10,""))</f>
        <v/>
      </c>
      <c r="M10" s="101">
        <f>IFERROR(IF(AND($G10&gt;0,$H$4-$G10&gt;=91),$H10,""),IF(AND($D10&gt;0,$H$4-$D10&gt;=91),$H10,""))</f>
        <v/>
      </c>
    </row>
    <row r="11" ht="22" customHeight="1">
      <c r="B11" s="41">
        <f>'Contabilità fornitori'!B12</f>
        <v/>
      </c>
      <c r="C11" s="42">
        <f>'Contabilità fornitori'!C12</f>
        <v/>
      </c>
      <c r="D11" s="42">
        <f>'Contabilità fornitori'!D12</f>
        <v/>
      </c>
      <c r="E11" s="43">
        <f>'Contabilità fornitori'!E12</f>
        <v/>
      </c>
      <c r="F11" s="96">
        <f>'Contabilità fornitori'!F12</f>
        <v/>
      </c>
      <c r="G11" s="41">
        <f>'Contabilità fornitori'!G12</f>
        <v/>
      </c>
      <c r="H11" s="97">
        <f>'Contabilità fornitori'!H12</f>
        <v/>
      </c>
      <c r="I11" s="98">
        <f>IFERROR(IF($G11&gt;=$H$4,$H11,""), IF($D11&gt;=$H$4,$H11,""))</f>
        <v/>
      </c>
      <c r="J11" s="98">
        <f>IFERROR(IF(AND($H$4-$G11&gt;=1,$H$4-$G11&lt;=30),$H11,""),IF(AND($H$4-$D11&gt;=1,$H$4-$D11&lt;=30),$H11,""))</f>
        <v/>
      </c>
      <c r="K11" s="98">
        <f>IFERROR(IF(AND($H$4-$G11&gt;=31,$H$4-$G11&lt;=60),$H11,""),IF(AND($H$4-$D11&gt;=31,$H$4-$D11&lt;=60),$H11,""))</f>
        <v/>
      </c>
      <c r="L11" s="98">
        <f>IFERROR(IF(AND($H$4-$G11&gt;=61,$H$4-$G11&lt;=90),$H11,""),IF(AND($H$4-$D11&gt;=61,$H$4-$D11&lt;=90),$H11,""))</f>
        <v/>
      </c>
      <c r="M11" s="98">
        <f>IFERROR(IF(AND($G11&gt;0,$H$4-$G11&gt;=91),$H11,""),IF(AND($D11&gt;0,$H$4-$D11&gt;=91),$H11,""))</f>
        <v/>
      </c>
    </row>
    <row r="12" ht="22" customHeight="1">
      <c r="B12" s="46">
        <f>'Contabilità fornitori'!B13</f>
        <v/>
      </c>
      <c r="C12" s="47">
        <f>'Contabilità fornitori'!C13</f>
        <v/>
      </c>
      <c r="D12" s="47">
        <f>'Contabilità fornitori'!D13</f>
        <v/>
      </c>
      <c r="E12" s="48">
        <f>'Contabilità fornitori'!E13</f>
        <v/>
      </c>
      <c r="F12" s="99">
        <f>'Contabilità fornitori'!F13</f>
        <v/>
      </c>
      <c r="G12" s="46">
        <f>'Contabilità fornitori'!G13</f>
        <v/>
      </c>
      <c r="H12" s="100">
        <f>'Contabilità fornitori'!H13</f>
        <v/>
      </c>
      <c r="I12" s="101">
        <f>IFERROR(IF($G12&gt;=$H$4,$H12,""), IF($D12&gt;=$H$4,$H12,""))</f>
        <v/>
      </c>
      <c r="J12" s="101">
        <f>IFERROR(IF(AND($H$4-$G12&gt;=1,$H$4-$G12&lt;=30),$H12,""),IF(AND($H$4-$D12&gt;=1,$H$4-$D12&lt;=30),$H12,""))</f>
        <v/>
      </c>
      <c r="K12" s="101">
        <f>IFERROR(IF(AND($H$4-$G12&gt;=31,$H$4-$G12&lt;=60),$H12,""),IF(AND($H$4-$D12&gt;=31,$H$4-$D12&lt;=60),$H12,""))</f>
        <v/>
      </c>
      <c r="L12" s="101">
        <f>IFERROR(IF(AND($H$4-$G12&gt;=61,$H$4-$G12&lt;=90),$H12,""),IF(AND($H$4-$D12&gt;=61,$H$4-$D12&lt;=90),$H12,""))</f>
        <v/>
      </c>
      <c r="M12" s="101">
        <f>IFERROR(IF(AND($G12&gt;0,$H$4-$G12&gt;=91),$H12,""),IF(AND($D12&gt;0,$H$4-$D12&gt;=91),$H12,""))</f>
        <v/>
      </c>
    </row>
    <row r="13" ht="22" customHeight="1">
      <c r="B13" s="41">
        <f>'Contabilità fornitori'!B14</f>
        <v/>
      </c>
      <c r="C13" s="42">
        <f>'Contabilità fornitori'!C14</f>
        <v/>
      </c>
      <c r="D13" s="42">
        <f>'Contabilità fornitori'!D14</f>
        <v/>
      </c>
      <c r="E13" s="43">
        <f>'Contabilità fornitori'!E14</f>
        <v/>
      </c>
      <c r="F13" s="96">
        <f>'Contabilità fornitori'!F14</f>
        <v/>
      </c>
      <c r="G13" s="41">
        <f>'Contabilità fornitori'!G14</f>
        <v/>
      </c>
      <c r="H13" s="97">
        <f>'Contabilità fornitori'!H14</f>
        <v/>
      </c>
      <c r="I13" s="98">
        <f>IFERROR(IF($G13&gt;=$H$4,$H13,""), IF($D13&gt;=$H$4,$H13,""))</f>
        <v/>
      </c>
      <c r="J13" s="98">
        <f>IFERROR(IF(AND($H$4-$G13&gt;=1,$H$4-$G13&lt;=30),$H13,""),IF(AND($H$4-$D13&gt;=1,$H$4-$D13&lt;=30),$H13,""))</f>
        <v/>
      </c>
      <c r="K13" s="98">
        <f>IFERROR(IF(AND($H$4-$G13&gt;=31,$H$4-$G13&lt;=60),$H13,""),IF(AND($H$4-$D13&gt;=31,$H$4-$D13&lt;=60),$H13,""))</f>
        <v/>
      </c>
      <c r="L13" s="98">
        <f>IFERROR(IF(AND($H$4-$G13&gt;=61,$H$4-$G13&lt;=90),$H13,""),IF(AND($H$4-$D13&gt;=61,$H$4-$D13&lt;=90),$H13,""))</f>
        <v/>
      </c>
      <c r="M13" s="98">
        <f>IFERROR(IF(AND($G13&gt;0,$H$4-$G13&gt;=91),$H13,""),IF(AND($D13&gt;0,$H$4-$D13&gt;=91),$H13,""))</f>
        <v/>
      </c>
    </row>
    <row r="14" ht="22" customHeight="1">
      <c r="B14" s="46">
        <f>'Contabilità fornitori'!B15</f>
        <v/>
      </c>
      <c r="C14" s="47">
        <f>'Contabilità fornitori'!C15</f>
        <v/>
      </c>
      <c r="D14" s="47">
        <f>'Contabilità fornitori'!D15</f>
        <v/>
      </c>
      <c r="E14" s="48">
        <f>'Contabilità fornitori'!E15</f>
        <v/>
      </c>
      <c r="F14" s="99">
        <f>'Contabilità fornitori'!F15</f>
        <v/>
      </c>
      <c r="G14" s="46">
        <f>'Contabilità fornitori'!G15</f>
        <v/>
      </c>
      <c r="H14" s="100">
        <f>'Contabilità fornitori'!H15</f>
        <v/>
      </c>
      <c r="I14" s="101">
        <f>IFERROR(IF($G14&gt;=$H$4,$H14,""), IF($D14&gt;=$H$4,$H14,""))</f>
        <v/>
      </c>
      <c r="J14" s="101">
        <f>IFERROR(IF(AND($H$4-$G14&gt;=1,$H$4-$G14&lt;=30),$H14,""),IF(AND($H$4-$D14&gt;=1,$H$4-$D14&lt;=30),$H14,""))</f>
        <v/>
      </c>
      <c r="K14" s="101">
        <f>IFERROR(IF(AND($H$4-$G14&gt;=31,$H$4-$G14&lt;=60),$H14,""),IF(AND($H$4-$D14&gt;=31,$H$4-$D14&lt;=60),$H14,""))</f>
        <v/>
      </c>
      <c r="L14" s="101">
        <f>IFERROR(IF(AND($H$4-$G14&gt;=61,$H$4-$G14&lt;=90),$H14,""),IF(AND($H$4-$D14&gt;=61,$H$4-$D14&lt;=90),$H14,""))</f>
        <v/>
      </c>
      <c r="M14" s="101">
        <f>IFERROR(IF(AND($G14&gt;0,$H$4-$G14&gt;=91),$H14,""),IF(AND($D14&gt;0,$H$4-$D14&gt;=91),$H14,""))</f>
        <v/>
      </c>
    </row>
    <row r="15" ht="22" customHeight="1">
      <c r="B15" s="41">
        <f>'Contabilità fornitori'!B16</f>
        <v/>
      </c>
      <c r="C15" s="42">
        <f>'Contabilità fornitori'!C16</f>
        <v/>
      </c>
      <c r="D15" s="42">
        <f>'Contabilità fornitori'!D16</f>
        <v/>
      </c>
      <c r="E15" s="43">
        <f>'Contabilità fornitori'!E16</f>
        <v/>
      </c>
      <c r="F15" s="96">
        <f>'Contabilità fornitori'!F16</f>
        <v/>
      </c>
      <c r="G15" s="41">
        <f>'Contabilità fornitori'!G16</f>
        <v/>
      </c>
      <c r="H15" s="97">
        <f>'Contabilità fornitori'!H16</f>
        <v/>
      </c>
      <c r="I15" s="98">
        <f>IFERROR(IF($G15&gt;=$H$4,$H15,""), IF($D15&gt;=$H$4,$H15,""))</f>
        <v/>
      </c>
      <c r="J15" s="98">
        <f>IFERROR(IF(AND($H$4-$G15&gt;=1,$H$4-$G15&lt;=30),$H15,""),IF(AND($H$4-$D15&gt;=1,$H$4-$D15&lt;=30),$H15,""))</f>
        <v/>
      </c>
      <c r="K15" s="98">
        <f>IFERROR(IF(AND($H$4-$G15&gt;=31,$H$4-$G15&lt;=60),$H15,""),IF(AND($H$4-$D15&gt;=31,$H$4-$D15&lt;=60),$H15,""))</f>
        <v/>
      </c>
      <c r="L15" s="98">
        <f>IFERROR(IF(AND($H$4-$G15&gt;=61,$H$4-$G15&lt;=90),$H15,""),IF(AND($H$4-$D15&gt;=61,$H$4-$D15&lt;=90),$H15,""))</f>
        <v/>
      </c>
      <c r="M15" s="98">
        <f>IFERROR(IF(AND($G15&gt;0,$H$4-$G15&gt;=91),$H15,""),IF(AND($D15&gt;0,$H$4-$D15&gt;=91),$H15,""))</f>
        <v/>
      </c>
    </row>
    <row r="16" ht="22" customHeight="1">
      <c r="B16" s="46">
        <f>'Contabilità fornitori'!B17</f>
        <v/>
      </c>
      <c r="C16" s="47">
        <f>'Contabilità fornitori'!C17</f>
        <v/>
      </c>
      <c r="D16" s="47">
        <f>'Contabilità fornitori'!D17</f>
        <v/>
      </c>
      <c r="E16" s="48">
        <f>'Contabilità fornitori'!E17</f>
        <v/>
      </c>
      <c r="F16" s="99">
        <f>'Contabilità fornitori'!F17</f>
        <v/>
      </c>
      <c r="G16" s="46">
        <f>'Contabilità fornitori'!G17</f>
        <v/>
      </c>
      <c r="H16" s="100">
        <f>'Contabilità fornitori'!H17</f>
        <v/>
      </c>
      <c r="I16" s="101">
        <f>IFERROR(IF($G16&gt;=$H$4,$H16,""), IF($D16&gt;=$H$4,$H16,""))</f>
        <v/>
      </c>
      <c r="J16" s="101">
        <f>IFERROR(IF(AND($H$4-$G16&gt;=1,$H$4-$G16&lt;=30),$H16,""),IF(AND($H$4-$D16&gt;=1,$H$4-$D16&lt;=30),$H16,""))</f>
        <v/>
      </c>
      <c r="K16" s="101">
        <f>IFERROR(IF(AND($H$4-$G16&gt;=31,$H$4-$G16&lt;=60),$H16,""),IF(AND($H$4-$D16&gt;=31,$H$4-$D16&lt;=60),$H16,""))</f>
        <v/>
      </c>
      <c r="L16" s="101">
        <f>IFERROR(IF(AND($H$4-$G16&gt;=61,$H$4-$G16&lt;=90),$H16,""),IF(AND($H$4-$D16&gt;=61,$H$4-$D16&lt;=90),$H16,""))</f>
        <v/>
      </c>
      <c r="M16" s="101">
        <f>IFERROR(IF(AND($G16&gt;0,$H$4-$G16&gt;=91),$H16,""),IF(AND($D16&gt;0,$H$4-$D16&gt;=91),$H16,""))</f>
        <v/>
      </c>
    </row>
    <row r="17" ht="22" customHeight="1">
      <c r="B17" s="41">
        <f>'Contabilità fornitori'!B18</f>
        <v/>
      </c>
      <c r="C17" s="42">
        <f>'Contabilità fornitori'!C18</f>
        <v/>
      </c>
      <c r="D17" s="42">
        <f>'Contabilità fornitori'!D18</f>
        <v/>
      </c>
      <c r="E17" s="43">
        <f>'Contabilità fornitori'!E18</f>
        <v/>
      </c>
      <c r="F17" s="96">
        <f>'Contabilità fornitori'!F18</f>
        <v/>
      </c>
      <c r="G17" s="41">
        <f>'Contabilità fornitori'!G18</f>
        <v/>
      </c>
      <c r="H17" s="97">
        <f>'Contabilità fornitori'!H18</f>
        <v/>
      </c>
      <c r="I17" s="98">
        <f>IFERROR(IF($G17&gt;=$H$4,$H17,""), IF($D17&gt;=$H$4,$H17,""))</f>
        <v/>
      </c>
      <c r="J17" s="98">
        <f>IFERROR(IF(AND($H$4-$G17&gt;=1,$H$4-$G17&lt;=30),$H17,""),IF(AND($H$4-$D17&gt;=1,$H$4-$D17&lt;=30),$H17,""))</f>
        <v/>
      </c>
      <c r="K17" s="98">
        <f>IFERROR(IF(AND($H$4-$G17&gt;=31,$H$4-$G17&lt;=60),$H17,""),IF(AND($H$4-$D17&gt;=31,$H$4-$D17&lt;=60),$H17,""))</f>
        <v/>
      </c>
      <c r="L17" s="98">
        <f>IFERROR(IF(AND($H$4-$G17&gt;=61,$H$4-$G17&lt;=90),$H17,""),IF(AND($H$4-$D17&gt;=61,$H$4-$D17&lt;=90),$H17,""))</f>
        <v/>
      </c>
      <c r="M17" s="98">
        <f>IFERROR(IF(AND($G17&gt;0,$H$4-$G17&gt;=91),$H17,""),IF(AND($D17&gt;0,$H$4-$D17&gt;=91),$H17,""))</f>
        <v/>
      </c>
    </row>
    <row r="18" ht="22" customHeight="1">
      <c r="B18" s="46">
        <f>'Contabilità fornitori'!B19</f>
        <v/>
      </c>
      <c r="C18" s="47">
        <f>'Contabilità fornitori'!C19</f>
        <v/>
      </c>
      <c r="D18" s="47">
        <f>'Contabilità fornitori'!D19</f>
        <v/>
      </c>
      <c r="E18" s="48">
        <f>'Contabilità fornitori'!E19</f>
        <v/>
      </c>
      <c r="F18" s="99">
        <f>'Contabilità fornitori'!F19</f>
        <v/>
      </c>
      <c r="G18" s="46">
        <f>'Contabilità fornitori'!G19</f>
        <v/>
      </c>
      <c r="H18" s="100">
        <f>'Contabilità fornitori'!H19</f>
        <v/>
      </c>
      <c r="I18" s="101">
        <f>IFERROR(IF($G18&gt;=$H$4,$H18,""), IF($D18&gt;=$H$4,$H18,""))</f>
        <v/>
      </c>
      <c r="J18" s="101">
        <f>IFERROR(IF(AND($H$4-$G18&gt;=1,$H$4-$G18&lt;=30),$H18,""),IF(AND($H$4-$D18&gt;=1,$H$4-$D18&lt;=30),$H18,""))</f>
        <v/>
      </c>
      <c r="K18" s="101">
        <f>IFERROR(IF(AND($H$4-$G18&gt;=31,$H$4-$G18&lt;=60),$H18,""),IF(AND($H$4-$D18&gt;=31,$H$4-$D18&lt;=60),$H18,""))</f>
        <v/>
      </c>
      <c r="L18" s="101">
        <f>IFERROR(IF(AND($H$4-$G18&gt;=61,$H$4-$G18&lt;=90),$H18,""),IF(AND($H$4-$D18&gt;=61,$H$4-$D18&lt;=90),$H18,""))</f>
        <v/>
      </c>
      <c r="M18" s="101">
        <f>IFERROR(IF(AND($G18&gt;0,$H$4-$G18&gt;=91),$H18,""),IF(AND($D18&gt;0,$H$4-$D18&gt;=91),$H18,""))</f>
        <v/>
      </c>
    </row>
    <row r="19" ht="22" customHeight="1">
      <c r="B19" s="41">
        <f>'Contabilità fornitori'!B20</f>
        <v/>
      </c>
      <c r="C19" s="42">
        <f>'Contabilità fornitori'!C20</f>
        <v/>
      </c>
      <c r="D19" s="42">
        <f>'Contabilità fornitori'!D20</f>
        <v/>
      </c>
      <c r="E19" s="43">
        <f>'Contabilità fornitori'!E20</f>
        <v/>
      </c>
      <c r="F19" s="96">
        <f>'Contabilità fornitori'!F20</f>
        <v/>
      </c>
      <c r="G19" s="41">
        <f>'Contabilità fornitori'!G20</f>
        <v/>
      </c>
      <c r="H19" s="97">
        <f>'Contabilità fornitori'!H20</f>
        <v/>
      </c>
      <c r="I19" s="98">
        <f>IFERROR(IF($G19&gt;=$H$4,$H19,""), IF($D19&gt;=$H$4,$H19,""))</f>
        <v/>
      </c>
      <c r="J19" s="98">
        <f>IFERROR(IF(AND($H$4-$G19&gt;=1,$H$4-$G19&lt;=30),$H19,""),IF(AND($H$4-$D19&gt;=1,$H$4-$D19&lt;=30),$H19,""))</f>
        <v/>
      </c>
      <c r="K19" s="98">
        <f>IFERROR(IF(AND($H$4-$G19&gt;=31,$H$4-$G19&lt;=60),$H19,""),IF(AND($H$4-$D19&gt;=31,$H$4-$D19&lt;=60),$H19,""))</f>
        <v/>
      </c>
      <c r="L19" s="98">
        <f>IFERROR(IF(AND($H$4-$G19&gt;=61,$H$4-$G19&lt;=90),$H19,""),IF(AND($H$4-$D19&gt;=61,$H$4-$D19&lt;=90),$H19,""))</f>
        <v/>
      </c>
      <c r="M19" s="98">
        <f>IFERROR(IF(AND($G19&gt;0,$H$4-$G19&gt;=91),$H19,""),IF(AND($D19&gt;0,$H$4-$D19&gt;=91),$H19,""))</f>
        <v/>
      </c>
    </row>
    <row r="20" ht="22" customHeight="1">
      <c r="B20" s="46">
        <f>'Contabilità fornitori'!B21</f>
        <v/>
      </c>
      <c r="C20" s="47">
        <f>'Contabilità fornitori'!C21</f>
        <v/>
      </c>
      <c r="D20" s="47">
        <f>'Contabilità fornitori'!D21</f>
        <v/>
      </c>
      <c r="E20" s="48">
        <f>'Contabilità fornitori'!E21</f>
        <v/>
      </c>
      <c r="F20" s="99">
        <f>'Contabilità fornitori'!F21</f>
        <v/>
      </c>
      <c r="G20" s="46">
        <f>'Contabilità fornitori'!G21</f>
        <v/>
      </c>
      <c r="H20" s="100">
        <f>'Contabilità fornitori'!H21</f>
        <v/>
      </c>
      <c r="I20" s="101">
        <f>IFERROR(IF($G20&gt;=$H$4,$H20,""), IF($D20&gt;=$H$4,$H20,""))</f>
        <v/>
      </c>
      <c r="J20" s="101">
        <f>IFERROR(IF(AND($H$4-$G20&gt;=1,$H$4-$G20&lt;=30),$H20,""),IF(AND($H$4-$D20&gt;=1,$H$4-$D20&lt;=30),$H20,""))</f>
        <v/>
      </c>
      <c r="K20" s="101">
        <f>IFERROR(IF(AND($H$4-$G20&gt;=31,$H$4-$G20&lt;=60),$H20,""),IF(AND($H$4-$D20&gt;=31,$H$4-$D20&lt;=60),$H20,""))</f>
        <v/>
      </c>
      <c r="L20" s="101">
        <f>IFERROR(IF(AND($H$4-$G20&gt;=61,$H$4-$G20&lt;=90),$H20,""),IF(AND($H$4-$D20&gt;=61,$H$4-$D20&lt;=90),$H20,""))</f>
        <v/>
      </c>
      <c r="M20" s="101">
        <f>IFERROR(IF(AND($G20&gt;0,$H$4-$G20&gt;=91),$H20,""),IF(AND($D20&gt;0,$H$4-$D20&gt;=91),$H20,""))</f>
        <v/>
      </c>
    </row>
    <row r="21" ht="22" customHeight="1">
      <c r="B21" s="41">
        <f>'Contabilità fornitori'!B22</f>
        <v/>
      </c>
      <c r="C21" s="42">
        <f>'Contabilità fornitori'!C22</f>
        <v/>
      </c>
      <c r="D21" s="42">
        <f>'Contabilità fornitori'!D22</f>
        <v/>
      </c>
      <c r="E21" s="43">
        <f>'Contabilità fornitori'!E22</f>
        <v/>
      </c>
      <c r="F21" s="96">
        <f>'Contabilità fornitori'!F22</f>
        <v/>
      </c>
      <c r="G21" s="41">
        <f>'Contabilità fornitori'!G22</f>
        <v/>
      </c>
      <c r="H21" s="97">
        <f>'Contabilità fornitori'!H22</f>
        <v/>
      </c>
      <c r="I21" s="98">
        <f>IFERROR(IF($G21&gt;=$H$4,$H21,""), IF($D21&gt;=$H$4,$H21,""))</f>
        <v/>
      </c>
      <c r="J21" s="98">
        <f>IFERROR(IF(AND($H$4-$G21&gt;=1,$H$4-$G21&lt;=30),$H21,""),IF(AND($H$4-$D21&gt;=1,$H$4-$D21&lt;=30),$H21,""))</f>
        <v/>
      </c>
      <c r="K21" s="98">
        <f>IFERROR(IF(AND($H$4-$G21&gt;=31,$H$4-$G21&lt;=60),$H21,""),IF(AND($H$4-$D21&gt;=31,$H$4-$D21&lt;=60),$H21,""))</f>
        <v/>
      </c>
      <c r="L21" s="98">
        <f>IFERROR(IF(AND($H$4-$G21&gt;=61,$H$4-$G21&lt;=90),$H21,""),IF(AND($H$4-$D21&gt;=61,$H$4-$D21&lt;=90),$H21,""))</f>
        <v/>
      </c>
      <c r="M21" s="98">
        <f>IFERROR(IF(AND($G21&gt;0,$H$4-$G21&gt;=91),$H21,""),IF(AND($D21&gt;0,$H$4-$D21&gt;=91),$H21,""))</f>
        <v/>
      </c>
    </row>
    <row r="22" ht="22" customHeight="1">
      <c r="B22" s="46">
        <f>'Contabilità fornitori'!B23</f>
        <v/>
      </c>
      <c r="C22" s="47">
        <f>'Contabilità fornitori'!C23</f>
        <v/>
      </c>
      <c r="D22" s="47">
        <f>'Contabilità fornitori'!D23</f>
        <v/>
      </c>
      <c r="E22" s="48">
        <f>'Contabilità fornitori'!E23</f>
        <v/>
      </c>
      <c r="F22" s="99">
        <f>'Contabilità fornitori'!F23</f>
        <v/>
      </c>
      <c r="G22" s="46">
        <f>'Contabilità fornitori'!G23</f>
        <v/>
      </c>
      <c r="H22" s="100">
        <f>'Contabilità fornitori'!H23</f>
        <v/>
      </c>
      <c r="I22" s="101">
        <f>IFERROR(IF($G22&gt;=$H$4,$H22,""), IF($D22&gt;=$H$4,$H22,""))</f>
        <v/>
      </c>
      <c r="J22" s="101">
        <f>IFERROR(IF(AND($H$4-$G22&gt;=1,$H$4-$G22&lt;=30),$H22,""),IF(AND($H$4-$D22&gt;=1,$H$4-$D22&lt;=30),$H22,""))</f>
        <v/>
      </c>
      <c r="K22" s="101">
        <f>IFERROR(IF(AND($H$4-$G22&gt;=31,$H$4-$G22&lt;=60),$H22,""),IF(AND($H$4-$D22&gt;=31,$H$4-$D22&lt;=60),$H22,""))</f>
        <v/>
      </c>
      <c r="L22" s="101">
        <f>IFERROR(IF(AND($H$4-$G22&gt;=61,$H$4-$G22&lt;=90),$H22,""),IF(AND($H$4-$D22&gt;=61,$H$4-$D22&lt;=90),$H22,""))</f>
        <v/>
      </c>
      <c r="M22" s="101">
        <f>IFERROR(IF(AND($G22&gt;0,$H$4-$G22&gt;=91),$H22,""),IF(AND($D22&gt;0,$H$4-$D22&gt;=91),$H22,""))</f>
        <v/>
      </c>
    </row>
    <row r="23" ht="22" customHeight="1">
      <c r="B23" s="41">
        <f>'Contabilità fornitori'!B24</f>
        <v/>
      </c>
      <c r="C23" s="42">
        <f>'Contabilità fornitori'!C24</f>
        <v/>
      </c>
      <c r="D23" s="42">
        <f>'Contabilità fornitori'!D24</f>
        <v/>
      </c>
      <c r="E23" s="43">
        <f>'Contabilità fornitori'!E24</f>
        <v/>
      </c>
      <c r="F23" s="96">
        <f>'Contabilità fornitori'!F24</f>
        <v/>
      </c>
      <c r="G23" s="41">
        <f>'Contabilità fornitori'!G24</f>
        <v/>
      </c>
      <c r="H23" s="97">
        <f>'Contabilità fornitori'!H24</f>
        <v/>
      </c>
      <c r="I23" s="98">
        <f>IFERROR(IF($G23&gt;=$H$4,$H23,""), IF($D23&gt;=$H$4,$H23,""))</f>
        <v/>
      </c>
      <c r="J23" s="98">
        <f>IFERROR(IF(AND($H$4-$G23&gt;=1,$H$4-$G23&lt;=30),$H23,""),IF(AND($H$4-$D23&gt;=1,$H$4-$D23&lt;=30),$H23,""))</f>
        <v/>
      </c>
      <c r="K23" s="98">
        <f>IFERROR(IF(AND($H$4-$G23&gt;=31,$H$4-$G23&lt;=60),$H23,""),IF(AND($H$4-$D23&gt;=31,$H$4-$D23&lt;=60),$H23,""))</f>
        <v/>
      </c>
      <c r="L23" s="98">
        <f>IFERROR(IF(AND($H$4-$G23&gt;=61,$H$4-$G23&lt;=90),$H23,""),IF(AND($H$4-$D23&gt;=61,$H$4-$D23&lt;=90),$H23,""))</f>
        <v/>
      </c>
      <c r="M23" s="98">
        <f>IFERROR(IF(AND($G23&gt;0,$H$4-$G23&gt;=91),$H23,""),IF(AND($D23&gt;0,$H$4-$D23&gt;=91),$H23,""))</f>
        <v/>
      </c>
    </row>
    <row r="24" ht="22" customHeight="1">
      <c r="B24" s="46">
        <f>'Contabilità fornitori'!B25</f>
        <v/>
      </c>
      <c r="C24" s="47">
        <f>'Contabilità fornitori'!C25</f>
        <v/>
      </c>
      <c r="D24" s="47">
        <f>'Contabilità fornitori'!D25</f>
        <v/>
      </c>
      <c r="E24" s="48">
        <f>'Contabilità fornitori'!E25</f>
        <v/>
      </c>
      <c r="F24" s="99">
        <f>'Contabilità fornitori'!F25</f>
        <v/>
      </c>
      <c r="G24" s="46">
        <f>'Contabilità fornitori'!G25</f>
        <v/>
      </c>
      <c r="H24" s="100">
        <f>'Contabilità fornitori'!H25</f>
        <v/>
      </c>
      <c r="I24" s="101">
        <f>IFERROR(IF($G24&gt;=$H$4,$H24,""), IF($D24&gt;=$H$4,$H24,""))</f>
        <v/>
      </c>
      <c r="J24" s="101">
        <f>IFERROR(IF(AND($H$4-$G24&gt;=1,$H$4-$G24&lt;=30),$H24,""),IF(AND($H$4-$D24&gt;=1,$H$4-$D24&lt;=30),$H24,""))</f>
        <v/>
      </c>
      <c r="K24" s="101">
        <f>IFERROR(IF(AND($H$4-$G24&gt;=31,$H$4-$G24&lt;=60),$H24,""),IF(AND($H$4-$D24&gt;=31,$H$4-$D24&lt;=60),$H24,""))</f>
        <v/>
      </c>
      <c r="L24" s="101">
        <f>IFERROR(IF(AND($H$4-$G24&gt;=61,$H$4-$G24&lt;=90),$H24,""),IF(AND($H$4-$D24&gt;=61,$H$4-$D24&lt;=90),$H24,""))</f>
        <v/>
      </c>
      <c r="M24" s="101">
        <f>IFERROR(IF(AND($G24&gt;0,$H$4-$G24&gt;=91),$H24,""),IF(AND($D24&gt;0,$H$4-$D24&gt;=91),$H24,""))</f>
        <v/>
      </c>
    </row>
    <row r="25" ht="22" customHeight="1">
      <c r="B25" s="41">
        <f>'Contabilità fornitori'!B26</f>
        <v/>
      </c>
      <c r="C25" s="42">
        <f>'Contabilità fornitori'!C26</f>
        <v/>
      </c>
      <c r="D25" s="42">
        <f>'Contabilità fornitori'!D26</f>
        <v/>
      </c>
      <c r="E25" s="43">
        <f>'Contabilità fornitori'!E26</f>
        <v/>
      </c>
      <c r="F25" s="96">
        <f>'Contabilità fornitori'!F26</f>
        <v/>
      </c>
      <c r="G25" s="41">
        <f>'Contabilità fornitori'!G26</f>
        <v/>
      </c>
      <c r="H25" s="97">
        <f>'Contabilità fornitori'!H26</f>
        <v/>
      </c>
      <c r="I25" s="98">
        <f>IFERROR(IF($G25&gt;=$H$4,$H25,""), IF($D25&gt;=$H$4,$H25,""))</f>
        <v/>
      </c>
      <c r="J25" s="98">
        <f>IFERROR(IF(AND($H$4-$G25&gt;=1,$H$4-$G25&lt;=30),$H25,""),IF(AND($H$4-$D25&gt;=1,$H$4-$D25&lt;=30),$H25,""))</f>
        <v/>
      </c>
      <c r="K25" s="98">
        <f>IFERROR(IF(AND($H$4-$G25&gt;=31,$H$4-$G25&lt;=60),$H25,""),IF(AND($H$4-$D25&gt;=31,$H$4-$D25&lt;=60),$H25,""))</f>
        <v/>
      </c>
      <c r="L25" s="98">
        <f>IFERROR(IF(AND($H$4-$G25&gt;=61,$H$4-$G25&lt;=90),$H25,""),IF(AND($H$4-$D25&gt;=61,$H$4-$D25&lt;=90),$H25,""))</f>
        <v/>
      </c>
      <c r="M25" s="98">
        <f>IFERROR(IF(AND($G25&gt;0,$H$4-$G25&gt;=91),$H25,""),IF(AND($D25&gt;0,$H$4-$D25&gt;=91),$H25,""))</f>
        <v/>
      </c>
    </row>
    <row r="26" ht="22" customHeight="1" thickBot="1">
      <c r="B26" s="50">
        <f>'Contabilità fornitori'!B27</f>
        <v/>
      </c>
      <c r="C26" s="51">
        <f>'Contabilità fornitori'!C27</f>
        <v/>
      </c>
      <c r="D26" s="51">
        <f>'Contabilità fornitori'!D27</f>
        <v/>
      </c>
      <c r="E26" s="52">
        <f>'Contabilità fornitori'!E27</f>
        <v/>
      </c>
      <c r="F26" s="102">
        <f>'Contabilità fornitori'!F27</f>
        <v/>
      </c>
      <c r="G26" s="50">
        <f>'Contabilità fornitori'!G27</f>
        <v/>
      </c>
      <c r="H26" s="103">
        <f>'Contabilità fornitori'!H27</f>
        <v/>
      </c>
      <c r="I26" s="104">
        <f>IFERROR(IF($G26&gt;=$H$4,$H26,""), IF($D26&gt;=$H$4,$H26,""))</f>
        <v/>
      </c>
      <c r="J26" s="104">
        <f>IFERROR(IF(AND($H$4-$G26&gt;=1,$H$4-$G26&lt;=30),$H26,""),IF(AND($H$4-$D26&gt;=1,$H$4-$D26&lt;=30),$H26,""))</f>
        <v/>
      </c>
      <c r="K26" s="104">
        <f>IFERROR(IF(AND($H$4-$G26&gt;=31,$H$4-$G26&lt;=60),$H26,""),IF(AND($H$4-$D26&gt;=31,$H$4-$D26&lt;=60),$H26,""))</f>
        <v/>
      </c>
      <c r="L26" s="104">
        <f>IFERROR(IF(AND($H$4-$G26&gt;=61,$H$4-$G26&lt;=90),$H26,""),IF(AND($H$4-$D26&gt;=61,$H$4-$D26&lt;=90),$H26,""))</f>
        <v/>
      </c>
      <c r="M26" s="104">
        <f>IFERROR(IF(AND($G26&gt;0,$H$4-$G26&gt;=91),$H26,""),IF(AND($D26&gt;0,$H$4-$D26&gt;=91),$H26,""))</f>
        <v/>
      </c>
    </row>
    <row r="27" ht="30" customFormat="1" customHeight="1" s="3" thickBot="1">
      <c r="C27" s="36" t="n"/>
      <c r="D27" s="36" t="n"/>
      <c r="E27" s="36" t="n"/>
      <c r="F27" s="81" t="inlineStr">
        <is>
          <t>INVECCHIAMENTO TOTALE DEI CREDITI</t>
        </is>
      </c>
      <c r="H27" s="105">
        <f>SUM(H7:H24)</f>
        <v/>
      </c>
      <c r="I27" s="106">
        <f>SUM(I7:I24)</f>
        <v/>
      </c>
      <c r="J27" s="106">
        <f>SUM(J7:J26)</f>
        <v/>
      </c>
      <c r="K27" s="106">
        <f>SUM(K7:K26)</f>
        <v/>
      </c>
      <c r="L27" s="106">
        <f>SUM(L7:L26)</f>
        <v/>
      </c>
      <c r="M27" s="106">
        <f>SUM(M7:M26)</f>
        <v/>
      </c>
    </row>
    <row r="28">
      <c r="B28" s="67" t="n"/>
      <c r="C28" s="67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</row>
    <row r="29" ht="20" customHeight="1">
      <c r="B29" s="36" t="inlineStr">
        <is>
          <t>PREPARATO DA</t>
        </is>
      </c>
      <c r="C29" s="64" t="n"/>
      <c r="D29" s="64" t="n"/>
      <c r="E29" s="37" t="inlineStr">
        <is>
          <t>DATTERO</t>
        </is>
      </c>
      <c r="F29" s="81" t="n"/>
      <c r="G29" s="64" t="n"/>
      <c r="H29" s="82" t="inlineStr">
        <is>
          <t>RECENSITO DA</t>
        </is>
      </c>
      <c r="L29" s="37" t="inlineStr">
        <is>
          <t>DATTERO</t>
        </is>
      </c>
      <c r="M29" s="64" t="n"/>
    </row>
    <row r="30" ht="35" customHeight="1" thickBot="1">
      <c r="B30" s="76" t="n"/>
      <c r="C30" s="84" t="n"/>
      <c r="D30" s="85" t="n"/>
      <c r="E30" s="65" t="n"/>
      <c r="F30" s="81" t="n"/>
      <c r="G30" s="64" t="n"/>
      <c r="H30" s="76" t="n"/>
      <c r="I30" s="84" t="n"/>
      <c r="J30" s="84" t="n"/>
      <c r="K30" s="85" t="n"/>
      <c r="L30" s="65" t="n"/>
      <c r="M30" s="64" t="n"/>
    </row>
    <row r="31">
      <c r="B31" s="67" t="n"/>
      <c r="C31" s="67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</row>
    <row r="32">
      <c r="B32" s="67" t="n"/>
      <c r="C32" s="67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</row>
    <row r="33">
      <c r="B33" s="67" t="n"/>
      <c r="C33" s="67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</row>
    <row r="34">
      <c r="B34" s="67" t="n"/>
      <c r="C34" s="67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</row>
    <row r="35">
      <c r="B35" s="67" t="n"/>
      <c r="C35" s="67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</row>
    <row r="36">
      <c r="B36" s="67" t="n"/>
      <c r="C36" s="67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</row>
    <row r="37">
      <c r="B37" s="67" t="n"/>
      <c r="C37" s="67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</row>
    <row r="38">
      <c r="B38" s="67" t="n"/>
      <c r="C38" s="67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</row>
    <row r="39">
      <c r="B39" s="67" t="n"/>
      <c r="C39" s="67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</row>
    <row r="40">
      <c r="B40" s="67" t="n"/>
      <c r="C40" s="67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</row>
    <row r="41">
      <c r="B41" s="67" t="n"/>
      <c r="C41" s="67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</row>
    <row r="42">
      <c r="B42" s="67" t="n"/>
      <c r="C42" s="67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</row>
    <row r="43">
      <c r="B43" s="67" t="n"/>
      <c r="C43" s="67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</row>
    <row r="44">
      <c r="B44" s="67" t="n"/>
      <c r="C44" s="67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</row>
    <row r="45">
      <c r="B45" s="67" t="n"/>
      <c r="C45" s="67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</row>
    <row r="46">
      <c r="B46" s="67" t="n"/>
      <c r="C46" s="67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</row>
    <row r="47">
      <c r="B47" s="67" t="n"/>
      <c r="C47" s="67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</row>
    <row r="48">
      <c r="B48" s="67" t="n"/>
      <c r="C48" s="67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</row>
    <row r="49">
      <c r="B49" s="67" t="n"/>
      <c r="C49" s="67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</row>
    <row r="50">
      <c r="B50" s="67" t="n"/>
      <c r="C50" s="67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</row>
    <row r="51">
      <c r="B51" s="67" t="n"/>
      <c r="C51" s="67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</row>
    <row r="52">
      <c r="B52" s="67" t="n"/>
      <c r="C52" s="67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</row>
    <row r="53">
      <c r="B53" s="67" t="n"/>
      <c r="C53" s="67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</row>
    <row r="54">
      <c r="B54" s="67" t="n"/>
      <c r="C54" s="67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</row>
    <row r="55">
      <c r="B55" s="67" t="n"/>
      <c r="C55" s="67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68" t="n"/>
    </row>
    <row r="56">
      <c r="B56" s="67" t="n"/>
      <c r="C56" s="67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</row>
    <row r="57">
      <c r="B57" s="67" t="n"/>
      <c r="C57" s="67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68" t="n"/>
      <c r="P57" s="68" t="n"/>
    </row>
    <row r="58">
      <c r="B58" s="67" t="n"/>
      <c r="C58" s="67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</row>
    <row r="59">
      <c r="B59" s="67" t="n"/>
      <c r="C59" s="67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68" t="n"/>
    </row>
    <row r="60">
      <c r="B60" s="67" t="n"/>
      <c r="C60" s="67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</row>
    <row r="61">
      <c r="B61" s="67" t="n"/>
      <c r="C61" s="67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</row>
    <row r="62">
      <c r="B62" s="67" t="n"/>
      <c r="C62" s="67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</row>
    <row r="63">
      <c r="B63" s="67" t="n"/>
      <c r="C63" s="67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</row>
    <row r="64">
      <c r="B64" s="67" t="n"/>
      <c r="C64" s="67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</row>
    <row r="65">
      <c r="B65" s="67" t="n"/>
      <c r="C65" s="67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</row>
    <row r="66">
      <c r="B66" s="67" t="n"/>
      <c r="C66" s="67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</row>
    <row r="67">
      <c r="B67" s="67" t="n"/>
      <c r="C67" s="67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</row>
    <row r="68">
      <c r="B68" s="67" t="n"/>
      <c r="C68" s="67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68" t="n"/>
      <c r="P68" s="68" t="n"/>
    </row>
    <row r="69">
      <c r="B69" s="67" t="n"/>
      <c r="C69" s="67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</row>
    <row r="70">
      <c r="B70" s="67" t="n"/>
      <c r="C70" s="67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</row>
    <row r="71">
      <c r="B71" s="67" t="n"/>
      <c r="C71" s="67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</row>
    <row r="72">
      <c r="B72" s="67" t="n"/>
      <c r="C72" s="67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</row>
    <row r="73">
      <c r="B73" s="67" t="n"/>
      <c r="C73" s="67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</row>
    <row r="74">
      <c r="B74" s="67" t="n"/>
      <c r="C74" s="67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</row>
    <row r="75">
      <c r="B75" s="67" t="n"/>
      <c r="C75" s="67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</row>
    <row r="76">
      <c r="B76" s="67" t="n"/>
      <c r="C76" s="67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</row>
    <row r="77">
      <c r="B77" s="67" t="n"/>
      <c r="C77" s="67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</row>
    <row r="78">
      <c r="B78" s="67" t="n"/>
      <c r="C78" s="67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</row>
    <row r="79">
      <c r="B79" s="67" t="n"/>
      <c r="C79" s="67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</row>
    <row r="80">
      <c r="B80" s="67" t="n"/>
      <c r="C80" s="67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</row>
    <row r="81">
      <c r="B81" s="67" t="n"/>
      <c r="C81" s="67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</row>
    <row r="82">
      <c r="B82" s="67" t="n"/>
      <c r="C82" s="67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</row>
    <row r="83">
      <c r="B83" s="67" t="n"/>
      <c r="C83" s="67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</row>
    <row r="84">
      <c r="B84" s="67" t="n"/>
      <c r="C84" s="67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</row>
    <row r="85">
      <c r="B85" s="67" t="n"/>
      <c r="C85" s="67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</row>
    <row r="86">
      <c r="B86" s="67" t="n"/>
      <c r="C86" s="67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</row>
    <row r="87">
      <c r="B87" s="67" t="n"/>
      <c r="C87" s="67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</row>
    <row r="88">
      <c r="B88" s="67" t="n"/>
      <c r="C88" s="67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>
      <c r="E139" t="inlineStr">
        <is>
          <t xml:space="preserve"> </t>
        </is>
      </c>
    </row>
  </sheetData>
  <mergeCells count="6">
    <mergeCell ref="H30:K30"/>
    <mergeCell ref="B4:G4"/>
    <mergeCell ref="I4:M4"/>
    <mergeCell ref="F27:G27"/>
    <mergeCell ref="B30:D30"/>
    <mergeCell ref="H29:K29"/>
  </mergeCells>
  <pageMargins left="0.25" right="0.25" top="0.25" bottom="0.25" header="0" footer="0"/>
  <pageSetup orientation="landscape" paperSize="3" scale="98" fitToHeight="0" horizontalDpi="1200" verticalDpi="1200"/>
</worksheet>
</file>

<file path=xl/worksheets/sheet3.xml><?xml version="1.0" encoding="utf-8"?>
<worksheet xmlns="http://schemas.openxmlformats.org/spreadsheetml/2006/main">
  <sheetPr>
    <tabColor theme="1" tint="0.3499862666707358"/>
    <outlinePr summaryBelow="1" summaryRight="1"/>
    <pageSetUpPr/>
  </sheetPr>
  <dimension ref="A1:B2"/>
  <sheetViews>
    <sheetView showGridLines="0" workbookViewId="0">
      <selection activeCell="B62" sqref="B62:M62"/>
    </sheetView>
  </sheetViews>
  <sheetFormatPr baseColWidth="8" defaultColWidth="10.81640625" defaultRowHeight="14.5"/>
  <cols>
    <col width="3.36328125" customWidth="1" style="62" min="1" max="1"/>
    <col width="88.36328125" customWidth="1" style="62" min="2" max="2"/>
    <col width="10.81640625" customWidth="1" style="62" min="3" max="16384"/>
  </cols>
  <sheetData>
    <row r="1"/>
    <row r="2" ht="118" customHeight="1">
      <c r="B2" s="63" t="inlineStr">
        <is>
      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2016-01-05T17:01:40Z</dcterms:created>
  <dcterms:modified xmlns:dcterms="http://purl.org/dc/terms/" xmlns:xsi="http://www.w3.org/2001/XMLSchema-instance" xsi:type="dcterms:W3CDTF">2020-07-27T19:35:15Z</dcterms:modified>
  <cp:lastModifiedBy>Alexandra Ragazhinskaya</cp:lastModifiedBy>
  <cp:lastPrinted>2016-01-05T19:46:50Z</cp:lastPrinted>
</cp:coreProperties>
</file>