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32Fst5bTnfdVsh5KVBfBbpbtfANs_mnK\Corso EDGE Developer\1- Appunti ITS Ashif\Statistica\"/>
    </mc:Choice>
  </mc:AlternateContent>
  <xr:revisionPtr revIDLastSave="0" documentId="13_ncr:1_{85391212-AB0F-4955-A15B-9DB4D1BDF5C3}" xr6:coauthVersionLast="47" xr6:coauthVersionMax="47" xr10:uidLastSave="{00000000-0000-0000-0000-000000000000}"/>
  <bookViews>
    <workbookView xWindow="-120" yWindow="-120" windowWidth="29040" windowHeight="15720" tabRatio="478" xr2:uid="{3463DD15-3F94-4D68-B66F-2A4D0FE3B1B8}"/>
  </bookViews>
  <sheets>
    <sheet name="Statistica" sheetId="1" r:id="rId1"/>
  </sheets>
  <definedNames>
    <definedName name="_xlnm._FilterDatabase" localSheetId="0" hidden="1">Statistica!$B$214:$H$216</definedName>
  </definedNames>
  <calcPr calcId="191029"/>
</workbook>
</file>

<file path=xl/calcChain.xml><?xml version="1.0" encoding="utf-8"?>
<calcChain xmlns="http://schemas.openxmlformats.org/spreadsheetml/2006/main">
  <c r="I331" i="1" l="1"/>
  <c r="I325" i="1"/>
  <c r="I327" i="1"/>
  <c r="I329" i="1" s="1"/>
  <c r="H275" i="1"/>
  <c r="H299" i="1"/>
  <c r="I299" i="1" s="1"/>
  <c r="H300" i="1"/>
  <c r="H301" i="1"/>
  <c r="I301" i="1" s="1"/>
  <c r="H302" i="1"/>
  <c r="H303" i="1"/>
  <c r="H304" i="1"/>
  <c r="H305" i="1"/>
  <c r="I305" i="1" s="1"/>
  <c r="H306" i="1"/>
  <c r="H307" i="1"/>
  <c r="H308" i="1"/>
  <c r="I308" i="1" s="1"/>
  <c r="H309" i="1"/>
  <c r="I309" i="1" s="1"/>
  <c r="H310" i="1"/>
  <c r="H311" i="1"/>
  <c r="I311" i="1" s="1"/>
  <c r="H312" i="1"/>
  <c r="I312" i="1" s="1"/>
  <c r="H313" i="1"/>
  <c r="I313" i="1" s="1"/>
  <c r="H314" i="1"/>
  <c r="H315" i="1"/>
  <c r="H316" i="1"/>
  <c r="I316" i="1" s="1"/>
  <c r="H317" i="1"/>
  <c r="I317" i="1" s="1"/>
  <c r="H318" i="1"/>
  <c r="H319" i="1"/>
  <c r="H320" i="1"/>
  <c r="I320" i="1" s="1"/>
  <c r="H321" i="1"/>
  <c r="I321" i="1" s="1"/>
  <c r="H322" i="1"/>
  <c r="H323" i="1"/>
  <c r="H324" i="1"/>
  <c r="I324" i="1" s="1"/>
  <c r="H298" i="1"/>
  <c r="I298" i="1" s="1"/>
  <c r="H276" i="1"/>
  <c r="H277" i="1"/>
  <c r="H278" i="1"/>
  <c r="I278" i="1" s="1"/>
  <c r="H279" i="1"/>
  <c r="H280" i="1"/>
  <c r="I280" i="1" s="1"/>
  <c r="H281" i="1"/>
  <c r="I281" i="1" s="1"/>
  <c r="H282" i="1"/>
  <c r="H283" i="1"/>
  <c r="H284" i="1"/>
  <c r="H285" i="1"/>
  <c r="I285" i="1" s="1"/>
  <c r="H286" i="1"/>
  <c r="H287" i="1"/>
  <c r="H288" i="1"/>
  <c r="H289" i="1"/>
  <c r="I289" i="1" s="1"/>
  <c r="H290" i="1"/>
  <c r="I290" i="1" s="1"/>
  <c r="H291" i="1"/>
  <c r="H292" i="1"/>
  <c r="H293" i="1"/>
  <c r="I293" i="1" s="1"/>
  <c r="H294" i="1"/>
  <c r="H295" i="1"/>
  <c r="H296" i="1"/>
  <c r="H297" i="1"/>
  <c r="I297" i="1" s="1"/>
  <c r="I306" i="1"/>
  <c r="I314" i="1"/>
  <c r="I322" i="1"/>
  <c r="D193" i="1"/>
  <c r="C192" i="1"/>
  <c r="D185" i="1"/>
  <c r="I275" i="1"/>
  <c r="I215" i="1"/>
  <c r="I267" i="1"/>
  <c r="I265" i="1"/>
  <c r="I216" i="1"/>
  <c r="D180" i="1"/>
  <c r="D179" i="1"/>
  <c r="D172" i="1"/>
  <c r="C179" i="1"/>
  <c r="D186" i="1"/>
  <c r="C284" i="1"/>
  <c r="C281" i="1"/>
  <c r="G324" i="1"/>
  <c r="I323" i="1"/>
  <c r="G323" i="1"/>
  <c r="G322" i="1"/>
  <c r="G321" i="1"/>
  <c r="G320" i="1"/>
  <c r="I319" i="1"/>
  <c r="G319" i="1"/>
  <c r="I318" i="1"/>
  <c r="G318" i="1"/>
  <c r="G317" i="1"/>
  <c r="G316" i="1"/>
  <c r="I315" i="1"/>
  <c r="G315" i="1"/>
  <c r="G314" i="1"/>
  <c r="G313" i="1"/>
  <c r="G312" i="1"/>
  <c r="G311" i="1"/>
  <c r="I310" i="1"/>
  <c r="G310" i="1"/>
  <c r="G309" i="1"/>
  <c r="G308" i="1"/>
  <c r="I307" i="1"/>
  <c r="G307" i="1"/>
  <c r="G306" i="1"/>
  <c r="G305" i="1"/>
  <c r="I304" i="1"/>
  <c r="G304" i="1"/>
  <c r="I303" i="1"/>
  <c r="G303" i="1"/>
  <c r="I302" i="1"/>
  <c r="G302" i="1"/>
  <c r="G301" i="1"/>
  <c r="I300" i="1"/>
  <c r="G300" i="1"/>
  <c r="G299" i="1"/>
  <c r="G298" i="1"/>
  <c r="G297" i="1"/>
  <c r="I296" i="1"/>
  <c r="G296" i="1"/>
  <c r="I295" i="1"/>
  <c r="G295" i="1"/>
  <c r="I294" i="1"/>
  <c r="G294" i="1"/>
  <c r="G293" i="1"/>
  <c r="I292" i="1"/>
  <c r="G292" i="1"/>
  <c r="I291" i="1"/>
  <c r="G291" i="1"/>
  <c r="G290" i="1"/>
  <c r="G289" i="1"/>
  <c r="I288" i="1"/>
  <c r="G288" i="1"/>
  <c r="I287" i="1"/>
  <c r="G287" i="1"/>
  <c r="I286" i="1"/>
  <c r="G286" i="1"/>
  <c r="G285" i="1"/>
  <c r="I284" i="1"/>
  <c r="G284" i="1"/>
  <c r="I283" i="1"/>
  <c r="G283" i="1"/>
  <c r="C283" i="1"/>
  <c r="I282" i="1"/>
  <c r="G282" i="1"/>
  <c r="C282" i="1"/>
  <c r="G281" i="1"/>
  <c r="G280" i="1"/>
  <c r="I279" i="1"/>
  <c r="G279" i="1"/>
  <c r="G278" i="1"/>
  <c r="I277" i="1"/>
  <c r="G277" i="1"/>
  <c r="I276" i="1"/>
  <c r="G276" i="1"/>
  <c r="G275" i="1"/>
  <c r="I269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H265" i="1"/>
  <c r="H21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35" i="1"/>
  <c r="C224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C223" i="1"/>
  <c r="C222" i="1"/>
  <c r="C221" i="1"/>
  <c r="C205" i="1"/>
  <c r="C167" i="1"/>
  <c r="C166" i="1"/>
  <c r="C165" i="1"/>
  <c r="I149" i="1"/>
  <c r="I146" i="1"/>
  <c r="I147" i="1"/>
  <c r="I148" i="1"/>
  <c r="I145" i="1"/>
  <c r="H146" i="1"/>
  <c r="H147" i="1"/>
  <c r="H148" i="1"/>
  <c r="H149" i="1"/>
  <c r="H145" i="1"/>
  <c r="D151" i="1"/>
  <c r="E151" i="1"/>
  <c r="F151" i="1"/>
  <c r="G151" i="1"/>
  <c r="E150" i="1"/>
  <c r="F150" i="1"/>
  <c r="G150" i="1"/>
  <c r="D150" i="1"/>
  <c r="C141" i="1"/>
  <c r="C140" i="1"/>
  <c r="C139" i="1"/>
  <c r="D80" i="1"/>
  <c r="F80" i="1" s="1"/>
  <c r="C124" i="1"/>
  <c r="C123" i="1"/>
  <c r="C122" i="1"/>
  <c r="C107" i="1"/>
  <c r="F106" i="1"/>
  <c r="D105" i="1"/>
  <c r="F105" i="1" s="1"/>
  <c r="D104" i="1"/>
  <c r="F104" i="1" s="1"/>
  <c r="D103" i="1"/>
  <c r="F103" i="1" s="1"/>
  <c r="D102" i="1"/>
  <c r="D101" i="1"/>
  <c r="F101" i="1" s="1"/>
  <c r="C90" i="1"/>
  <c r="D90" i="1"/>
  <c r="C91" i="1"/>
  <c r="C92" i="1"/>
  <c r="C93" i="1"/>
  <c r="C94" i="1"/>
  <c r="C95" i="1"/>
  <c r="D95" i="1"/>
  <c r="D94" i="1"/>
  <c r="D93" i="1"/>
  <c r="D92" i="1"/>
  <c r="D91" i="1"/>
  <c r="D84" i="1"/>
  <c r="D85" i="1"/>
  <c r="F85" i="1" s="1"/>
  <c r="D83" i="1"/>
  <c r="D82" i="1"/>
  <c r="F82" i="1" s="1"/>
  <c r="D81" i="1"/>
  <c r="F81" i="1" s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56" i="1"/>
  <c r="C86" i="1"/>
  <c r="E77" i="1"/>
  <c r="D46" i="1"/>
  <c r="D47" i="1" s="1"/>
  <c r="C35" i="1"/>
  <c r="D34" i="1" s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D21" i="1"/>
  <c r="E20" i="1" s="1"/>
  <c r="F20" i="1" s="1"/>
  <c r="D10" i="1"/>
  <c r="E10" i="1" s="1"/>
  <c r="F10" i="1" s="1"/>
  <c r="H325" i="1" l="1"/>
  <c r="F95" i="1"/>
  <c r="D173" i="1"/>
  <c r="D187" i="1"/>
  <c r="D176" i="1"/>
  <c r="D188" i="1"/>
  <c r="D178" i="1"/>
  <c r="D189" i="1"/>
  <c r="D177" i="1"/>
  <c r="D190" i="1"/>
  <c r="D191" i="1"/>
  <c r="D175" i="1"/>
  <c r="D174" i="1"/>
  <c r="F92" i="1"/>
  <c r="F93" i="1"/>
  <c r="F91" i="1"/>
  <c r="F94" i="1"/>
  <c r="F90" i="1"/>
  <c r="D107" i="1"/>
  <c r="F102" i="1"/>
  <c r="C96" i="1"/>
  <c r="D96" i="1"/>
  <c r="E91" i="1" s="1"/>
  <c r="F84" i="1"/>
  <c r="F83" i="1"/>
  <c r="F77" i="1"/>
  <c r="E9" i="1"/>
  <c r="F9" i="1" s="1"/>
  <c r="D27" i="1"/>
  <c r="D28" i="1"/>
  <c r="E18" i="1"/>
  <c r="F18" i="1" s="1"/>
  <c r="D86" i="1"/>
  <c r="E80" i="1" s="1"/>
  <c r="E21" i="1"/>
  <c r="F21" i="1" s="1"/>
  <c r="D32" i="1"/>
  <c r="D30" i="1"/>
  <c r="D29" i="1"/>
  <c r="E16" i="1"/>
  <c r="F16" i="1" s="1"/>
  <c r="E17" i="1"/>
  <c r="F17" i="1" s="1"/>
  <c r="D31" i="1"/>
  <c r="E8" i="1"/>
  <c r="F8" i="1" s="1"/>
  <c r="E35" i="1"/>
  <c r="F35" i="1"/>
  <c r="E5" i="1"/>
  <c r="F5" i="1" s="1"/>
  <c r="E6" i="1"/>
  <c r="F6" i="1" s="1"/>
  <c r="E7" i="1"/>
  <c r="F7" i="1" s="1"/>
  <c r="E19" i="1"/>
  <c r="F19" i="1" s="1"/>
  <c r="D33" i="1"/>
  <c r="D192" i="1" l="1"/>
  <c r="F96" i="1"/>
  <c r="F97" i="1" s="1"/>
  <c r="E95" i="1"/>
  <c r="E103" i="1"/>
  <c r="E102" i="1"/>
  <c r="E92" i="1"/>
  <c r="E81" i="1"/>
  <c r="E101" i="1"/>
  <c r="E94" i="1"/>
  <c r="E105" i="1"/>
  <c r="E104" i="1"/>
  <c r="F86" i="1"/>
  <c r="E90" i="1"/>
  <c r="E83" i="1"/>
  <c r="E106" i="1"/>
  <c r="F107" i="1"/>
  <c r="E93" i="1"/>
  <c r="E85" i="1"/>
  <c r="E82" i="1"/>
  <c r="E84" i="1"/>
  <c r="D35" i="1"/>
  <c r="E107" i="1" l="1"/>
  <c r="E96" i="1"/>
  <c r="E86" i="1"/>
</calcChain>
</file>

<file path=xl/sharedStrings.xml><?xml version="1.0" encoding="utf-8"?>
<sst xmlns="http://schemas.openxmlformats.org/spreadsheetml/2006/main" count="158" uniqueCount="109">
  <si>
    <t>popolazione statistica</t>
  </si>
  <si>
    <t>40 coppie</t>
  </si>
  <si>
    <t>carattere n. figli x coppia</t>
  </si>
  <si>
    <t>coppia freq. Assoluta</t>
  </si>
  <si>
    <t>coppie freq. Relativa</t>
  </si>
  <si>
    <t>coppie freq. Percentuale</t>
  </si>
  <si>
    <t>Carattere grado di soddisfazione scuola scelta</t>
  </si>
  <si>
    <t>freq. Assoluta</t>
  </si>
  <si>
    <t>freq. Relativa</t>
  </si>
  <si>
    <t>freq. Percentuale</t>
  </si>
  <si>
    <t>moltissimo</t>
  </si>
  <si>
    <t>molto</t>
  </si>
  <si>
    <t>abbastanza</t>
  </si>
  <si>
    <t>poco</t>
  </si>
  <si>
    <t>pochissimo</t>
  </si>
  <si>
    <t>Voti all’Università di uno studente</t>
  </si>
  <si>
    <t>somma del quadrato degli scarti</t>
  </si>
  <si>
    <t>Costante 25</t>
  </si>
  <si>
    <t>Costante 28</t>
  </si>
  <si>
    <t>Costo Medio Unitario</t>
  </si>
  <si>
    <t>Costo unitario</t>
  </si>
  <si>
    <t>Lotto 1</t>
  </si>
  <si>
    <t>Lotto 2</t>
  </si>
  <si>
    <t>Lotto 3</t>
  </si>
  <si>
    <t>Lotto 4</t>
  </si>
  <si>
    <t>Lotto 5</t>
  </si>
  <si>
    <t>Costo Totale</t>
  </si>
  <si>
    <t>Costo Medio unit.</t>
  </si>
  <si>
    <t>Carattere n. pezzi venduti</t>
  </si>
  <si>
    <t>Carattere ricavi in euro ottenuti</t>
  </si>
  <si>
    <t>Cliente</t>
  </si>
  <si>
    <t>Modalità carattere</t>
  </si>
  <si>
    <t>Modalità del carattere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</si>
  <si>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</si>
  <si>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</si>
  <si>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</si>
  <si>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</si>
  <si>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</si>
  <si>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</si>
  <si>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</si>
  <si>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</si>
  <si>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</si>
  <si>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</si>
  <si>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</si>
  <si>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</si>
  <si>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</si>
  <si>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</si>
  <si>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</si>
  <si>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</si>
  <si>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</si>
  <si>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</si>
  <si>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</si>
  <si>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</si>
  <si>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Z</t>
  </si>
  <si>
    <t>n. pezzi</t>
  </si>
  <si>
    <t>freq. Relativa in %</t>
  </si>
  <si>
    <t>MEDIA</t>
  </si>
  <si>
    <t>MODA</t>
  </si>
  <si>
    <t>Valore fatturato</t>
  </si>
  <si>
    <t>Media aritmetica ponderata:--&gt;</t>
  </si>
  <si>
    <t>Stipendi</t>
  </si>
  <si>
    <t>Media</t>
  </si>
  <si>
    <t>Mediana</t>
  </si>
  <si>
    <t>Somma</t>
  </si>
  <si>
    <t>Vednite Giornaliere</t>
  </si>
  <si>
    <t>Giorno</t>
  </si>
  <si>
    <t>Prodotto A</t>
  </si>
  <si>
    <t>Prodotto B</t>
  </si>
  <si>
    <t>Prodotto C</t>
  </si>
  <si>
    <t>Prodotto D</t>
  </si>
  <si>
    <t>Lunedì</t>
  </si>
  <si>
    <t>Martedì</t>
  </si>
  <si>
    <t>Mercoledì</t>
  </si>
  <si>
    <t>Giovedì</t>
  </si>
  <si>
    <t>Venerdì</t>
  </si>
  <si>
    <t>Moda Giornaliera</t>
  </si>
  <si>
    <t>Fatturato per cliente</t>
  </si>
  <si>
    <t>Campo di variabilità</t>
  </si>
  <si>
    <t>Negozio A</t>
  </si>
  <si>
    <t>Vendite giornaliere</t>
  </si>
  <si>
    <t>Negozio B</t>
  </si>
  <si>
    <t>Scarto medio</t>
  </si>
  <si>
    <t>scarto assoluto</t>
  </si>
  <si>
    <t>scarto medio assoluto</t>
  </si>
  <si>
    <t>Gestione scorte</t>
  </si>
  <si>
    <t>Domanda settimanale</t>
  </si>
  <si>
    <t>Giudizio di qualità espresso da 50 clienti - filiale 1</t>
  </si>
  <si>
    <t>ottimo</t>
  </si>
  <si>
    <t>buono</t>
  </si>
  <si>
    <t>discreto</t>
  </si>
  <si>
    <t>sufficiente</t>
  </si>
  <si>
    <t>insufficiente</t>
  </si>
  <si>
    <t>grav. insufficiente</t>
  </si>
  <si>
    <t>Moda</t>
  </si>
  <si>
    <t>Voti</t>
  </si>
  <si>
    <t>n. Clienti</t>
  </si>
  <si>
    <t>n. volte voti</t>
  </si>
  <si>
    <t>scarto</t>
  </si>
  <si>
    <t>calcolo varianza</t>
  </si>
  <si>
    <t>Campo v.</t>
  </si>
  <si>
    <t>Somma Scarto ass.</t>
  </si>
  <si>
    <t>Varianza</t>
  </si>
  <si>
    <t>scarto quadratico medio o deviazione std</t>
  </si>
  <si>
    <t>Giudizio di qualità espresso da 50 clienti - filiale 2</t>
  </si>
  <si>
    <t>Scarto</t>
  </si>
  <si>
    <t>somma scarto assoluto</t>
  </si>
  <si>
    <t>Varianza Media</t>
  </si>
  <si>
    <t>Somma Varianza</t>
  </si>
  <si>
    <t>Coefficiente di Variazione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</si>
</sst>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€-410]&quot; &quot;#,##0;[Red]&quot;-&quot;[$€-410]&quot; &quot;#,##0"/>
    <numFmt numFmtId="165" formatCode="#,##0.00\ &quot;€&quot;"/>
    <numFmt numFmtId="166" formatCode="0.0"/>
  </numFmts>
  <fonts count="29">
    <font>
      <sz val="10"/>
      <color theme="1"/>
      <name val="Liberation Sans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CC0000"/>
      <name val="Calibri"/>
      <family val="2"/>
    </font>
    <font>
      <i/>
      <sz val="11"/>
      <color rgb="FF808080"/>
      <name val="Calibri"/>
      <family val="2"/>
    </font>
    <font>
      <sz val="11"/>
      <color rgb="FF006600"/>
      <name val="Calibri"/>
      <family val="2"/>
    </font>
    <font>
      <b/>
      <sz val="24"/>
      <color rgb="FF000000"/>
      <name val="Calibri"/>
      <family val="2"/>
    </font>
    <font>
      <b/>
      <sz val="18"/>
      <color rgb="FF000000"/>
      <name val="Calibri"/>
      <family val="2"/>
    </font>
    <font>
      <b/>
      <sz val="12"/>
      <color rgb="FF000000"/>
      <name val="Calibri"/>
      <family val="2"/>
    </font>
    <font>
      <u/>
      <sz val="11"/>
      <color rgb="FF0000EE"/>
      <name val="Calibri"/>
      <family val="2"/>
    </font>
    <font>
      <sz val="11"/>
      <color rgb="FF3F3F76"/>
      <name val="Calibri"/>
      <family val="2"/>
    </font>
    <font>
      <sz val="11"/>
      <color rgb="FF996600"/>
      <name val="Calibri"/>
      <family val="2"/>
    </font>
    <font>
      <sz val="11"/>
      <color rgb="FF333333"/>
      <name val="Calibri"/>
      <family val="2"/>
    </font>
    <font>
      <b/>
      <i/>
      <u/>
      <sz val="11"/>
      <color rgb="FF000000"/>
      <name val="Calibri"/>
      <family val="2"/>
    </font>
    <font>
      <b/>
      <sz val="11"/>
      <color rgb="FF44546A"/>
      <name val="Calibri"/>
      <family val="2"/>
    </font>
    <font>
      <sz val="10"/>
      <color rgb="FF000000"/>
      <name val="Liberation Sans1"/>
    </font>
    <font>
      <b/>
      <u/>
      <sz val="11"/>
      <color rgb="FF000000"/>
      <name val="Calibri"/>
      <family val="2"/>
    </font>
    <font>
      <sz val="11"/>
      <color rgb="FF3F3F76"/>
      <name val="Cascadia Mono"/>
      <family val="3"/>
    </font>
    <font>
      <sz val="11"/>
      <color rgb="FF000000"/>
      <name val="Cascadia Mono"/>
      <family val="3"/>
    </font>
    <font>
      <b/>
      <sz val="11"/>
      <color rgb="FF000000"/>
      <name val="Cascadia Mono"/>
      <family val="3"/>
    </font>
    <font>
      <b/>
      <sz val="11"/>
      <color rgb="FF3F3F76"/>
      <name val="Cascadia Mono"/>
      <family val="3"/>
    </font>
    <font>
      <u/>
      <sz val="11"/>
      <color rgb="FF000000"/>
      <name val="Calibri"/>
      <family val="2"/>
    </font>
    <font>
      <u/>
      <sz val="11"/>
      <color rgb="FF3F3F76"/>
      <name val="Cascadia Mono"/>
      <family val="3"/>
    </font>
    <font>
      <b/>
      <u/>
      <sz val="12"/>
      <color theme="1"/>
      <name val="Cascadia Mono"/>
      <family val="3"/>
    </font>
    <font>
      <b/>
      <sz val="12"/>
      <color theme="1"/>
      <name val="Cascadia Mono"/>
      <family val="3"/>
    </font>
    <font>
      <sz val="8"/>
      <name val="Liberation Sans"/>
      <family val="2"/>
    </font>
    <font>
      <b/>
      <sz val="10"/>
      <color theme="1"/>
      <name val="Cascadia Mono"/>
      <family val="3"/>
    </font>
    <font>
      <sz val="10"/>
      <color theme="1"/>
      <name val="Liberation Sans"/>
      <family val="2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CC99"/>
        <bgColor rgb="FFFFCC99"/>
      </patternFill>
    </fill>
    <fill>
      <patternFill patternType="solid">
        <fgColor rgb="FFFFFFCC"/>
        <bgColor rgb="FFFFFFCC"/>
      </patternFill>
    </fill>
    <fill>
      <patternFill patternType="solid">
        <fgColor rgb="FF55308D"/>
        <bgColor rgb="FF55308D"/>
      </patternFill>
    </fill>
    <fill>
      <patternFill patternType="solid">
        <fgColor rgb="FF77BC65"/>
        <bgColor rgb="FF77BC65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medium">
        <color rgb="FF8EA9DB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24">
    <xf numFmtId="0" fontId="0" fillId="0" borderId="0"/>
    <xf numFmtId="0" fontId="15" fillId="0" borderId="3" applyNumberFormat="0" applyProtection="0"/>
    <xf numFmtId="0" fontId="15" fillId="0" borderId="0" applyNumberFormat="0" applyBorder="0" applyProtection="0"/>
    <xf numFmtId="0" fontId="11" fillId="8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1" fillId="0" borderId="0" applyNumberFormat="0" applyBorder="0" applyProtection="0"/>
    <xf numFmtId="0" fontId="3" fillId="6" borderId="0" applyNumberFormat="0" applyBorder="0" applyProtection="0"/>
    <xf numFmtId="0" fontId="5" fillId="0" borderId="0" applyNumberFormat="0" applyBorder="0" applyProtection="0"/>
    <xf numFmtId="0" fontId="6" fillId="7" borderId="0" applyNumberFormat="0" applyBorder="0" applyProtection="0"/>
    <xf numFmtId="0" fontId="7" fillId="0" borderId="0" applyNumberFormat="0" applyBorder="0" applyProtection="0"/>
    <xf numFmtId="0" fontId="8" fillId="0" borderId="0" applyNumberFormat="0" applyBorder="0" applyProtection="0"/>
    <xf numFmtId="0" fontId="9" fillId="0" borderId="0" applyNumberFormat="0" applyBorder="0" applyProtection="0"/>
    <xf numFmtId="0" fontId="10" fillId="0" borderId="0" applyNumberFormat="0" applyBorder="0" applyProtection="0"/>
    <xf numFmtId="0" fontId="12" fillId="9" borderId="0" applyNumberFormat="0" applyBorder="0" applyProtection="0"/>
    <xf numFmtId="0" fontId="13" fillId="9" borderId="2" applyNumberFormat="0" applyProtection="0"/>
    <xf numFmtId="0" fontId="14" fillId="0" borderId="0" applyNumberFormat="0" applyBorder="0" applyProtection="0"/>
    <xf numFmtId="0" fontId="1" fillId="0" borderId="0" applyNumberFormat="0" applyBorder="0" applyProtection="0"/>
    <xf numFmtId="0" fontId="1" fillId="0" borderId="0" applyNumberFormat="0" applyBorder="0" applyProtection="0"/>
    <xf numFmtId="0" fontId="4" fillId="0" borderId="0" applyNumberFormat="0" applyBorder="0" applyProtection="0"/>
    <xf numFmtId="9" fontId="28" fillId="0" borderId="0" applyFont="0" applyFill="0" applyBorder="0" applyAlignment="0" applyProtection="0"/>
  </cellStyleXfs>
  <cellXfs count="50">
    <xf numFmtId="0" fontId="0" fillId="0" borderId="0" xfId="0"/>
    <xf numFmtId="0" fontId="16" fillId="0" borderId="0" xfId="9" applyFont="1"/>
    <xf numFmtId="0" fontId="16" fillId="10" borderId="0" xfId="9" applyFont="1" applyFill="1"/>
    <xf numFmtId="0" fontId="1" fillId="0" borderId="0" xfId="9"/>
    <xf numFmtId="0" fontId="15" fillId="0" borderId="3" xfId="1" applyAlignment="1">
      <alignment horizontal="center" vertical="center"/>
    </xf>
    <xf numFmtId="0" fontId="17" fillId="11" borderId="4" xfId="2" applyFont="1" applyFill="1" applyBorder="1" applyAlignment="1">
      <alignment horizontal="right" vertical="center"/>
    </xf>
    <xf numFmtId="0" fontId="17" fillId="11" borderId="0" xfId="2" applyFont="1" applyFill="1" applyAlignment="1">
      <alignment horizontal="right" vertical="center"/>
    </xf>
    <xf numFmtId="0" fontId="17" fillId="11" borderId="5" xfId="2" applyFont="1" applyFill="1" applyBorder="1" applyAlignment="1">
      <alignment horizontal="right" vertical="center"/>
    </xf>
    <xf numFmtId="0" fontId="18" fillId="8" borderId="1" xfId="3" applyFont="1" applyAlignment="1">
      <alignment horizontal="right" vertical="center"/>
    </xf>
    <xf numFmtId="2" fontId="18" fillId="8" borderId="1" xfId="3" applyNumberFormat="1" applyFont="1" applyAlignment="1">
      <alignment horizontal="right" vertical="center"/>
    </xf>
    <xf numFmtId="0" fontId="19" fillId="0" borderId="0" xfId="9" applyFont="1" applyAlignment="1">
      <alignment horizontal="right" vertical="center"/>
    </xf>
    <xf numFmtId="0" fontId="20" fillId="0" borderId="0" xfId="9" applyFont="1" applyAlignment="1">
      <alignment horizontal="right" vertical="center"/>
    </xf>
    <xf numFmtId="2" fontId="18" fillId="0" borderId="1" xfId="3" applyNumberFormat="1" applyFont="1" applyFill="1" applyAlignment="1">
      <alignment horizontal="right" vertical="center"/>
    </xf>
    <xf numFmtId="0" fontId="18" fillId="0" borderId="1" xfId="3" applyFont="1" applyFill="1" applyAlignment="1">
      <alignment horizontal="right" vertical="center"/>
    </xf>
    <xf numFmtId="0" fontId="1" fillId="10" borderId="0" xfId="9" applyFill="1"/>
    <xf numFmtId="164" fontId="18" fillId="8" borderId="1" xfId="3" applyNumberFormat="1" applyFont="1" applyAlignment="1">
      <alignment horizontal="right" vertical="center"/>
    </xf>
    <xf numFmtId="0" fontId="21" fillId="8" borderId="1" xfId="3" applyFont="1" applyAlignment="1">
      <alignment horizontal="right" vertical="center"/>
    </xf>
    <xf numFmtId="2" fontId="21" fillId="8" borderId="1" xfId="3" applyNumberFormat="1" applyFont="1" applyAlignment="1">
      <alignment horizontal="right" vertical="center"/>
    </xf>
    <xf numFmtId="0" fontId="17" fillId="11" borderId="4" xfId="2" applyFont="1" applyFill="1" applyBorder="1" applyAlignment="1">
      <alignment horizontal="center" vertical="center"/>
    </xf>
    <xf numFmtId="164" fontId="18" fillId="8" borderId="1" xfId="3" applyNumberFormat="1" applyFont="1" applyAlignment="1">
      <alignment horizontal="left" vertical="center"/>
    </xf>
    <xf numFmtId="1" fontId="18" fillId="8" borderId="1" xfId="3" applyNumberFormat="1" applyFont="1" applyAlignment="1">
      <alignment horizontal="right" vertical="center"/>
    </xf>
    <xf numFmtId="2" fontId="21" fillId="8" borderId="1" xfId="3" applyNumberFormat="1" applyFont="1" applyAlignment="1">
      <alignment horizontal="left" vertical="center"/>
    </xf>
    <xf numFmtId="2" fontId="18" fillId="8" borderId="1" xfId="3" applyNumberFormat="1" applyFont="1" applyAlignment="1">
      <alignment horizontal="left" vertical="center"/>
    </xf>
    <xf numFmtId="0" fontId="18" fillId="8" borderId="1" xfId="3" applyFont="1" applyAlignment="1">
      <alignment horizontal="left" vertical="center"/>
    </xf>
    <xf numFmtId="165" fontId="18" fillId="8" borderId="1" xfId="3" applyNumberFormat="1" applyFont="1" applyAlignment="1">
      <alignment horizontal="right" vertical="center"/>
    </xf>
    <xf numFmtId="0" fontId="22" fillId="0" borderId="0" xfId="9" applyFont="1"/>
    <xf numFmtId="165" fontId="20" fillId="0" borderId="0" xfId="9" applyNumberFormat="1" applyFont="1" applyAlignment="1">
      <alignment horizontal="right" vertical="center"/>
    </xf>
    <xf numFmtId="2" fontId="23" fillId="8" borderId="1" xfId="3" applyNumberFormat="1" applyFont="1" applyAlignment="1">
      <alignment horizontal="right" vertical="center"/>
    </xf>
    <xf numFmtId="1" fontId="24" fillId="8" borderId="1" xfId="3" applyNumberFormat="1" applyFont="1" applyAlignment="1">
      <alignment horizontal="right" vertical="center"/>
    </xf>
    <xf numFmtId="2" fontId="24" fillId="8" borderId="1" xfId="3" applyNumberFormat="1" applyFont="1" applyAlignment="1">
      <alignment horizontal="right" vertical="center"/>
    </xf>
    <xf numFmtId="2" fontId="25" fillId="8" borderId="1" xfId="3" applyNumberFormat="1" applyFont="1" applyAlignment="1">
      <alignment horizontal="right" vertical="center"/>
    </xf>
    <xf numFmtId="165" fontId="24" fillId="8" borderId="1" xfId="3" applyNumberFormat="1" applyFont="1" applyAlignment="1">
      <alignment horizontal="right" vertical="center"/>
    </xf>
    <xf numFmtId="3" fontId="18" fillId="8" borderId="1" xfId="3" applyNumberFormat="1" applyFont="1" applyAlignment="1">
      <alignment horizontal="right" vertical="center"/>
    </xf>
    <xf numFmtId="3" fontId="24" fillId="8" borderId="1" xfId="3" applyNumberFormat="1" applyFont="1" applyAlignment="1">
      <alignment horizontal="right" vertical="center"/>
    </xf>
    <xf numFmtId="0" fontId="2" fillId="0" borderId="0" xfId="9" applyFont="1"/>
    <xf numFmtId="166" fontId="18" fillId="8" borderId="1" xfId="3" applyNumberFormat="1" applyFont="1" applyAlignment="1">
      <alignment horizontal="right" vertical="center"/>
    </xf>
    <xf numFmtId="1" fontId="23" fillId="8" borderId="1" xfId="3" applyNumberFormat="1" applyFont="1" applyAlignment="1">
      <alignment horizontal="right" vertical="center"/>
    </xf>
    <xf numFmtId="0" fontId="2" fillId="0" borderId="0" xfId="9" applyFont="1" applyAlignment="1">
      <alignment horizontal="right" vertical="center"/>
    </xf>
    <xf numFmtId="4" fontId="24" fillId="8" borderId="1" xfId="3" applyNumberFormat="1" applyFont="1" applyAlignment="1">
      <alignment horizontal="right" vertical="center"/>
    </xf>
    <xf numFmtId="166" fontId="24" fillId="8" borderId="1" xfId="3" applyNumberFormat="1" applyFont="1" applyAlignment="1">
      <alignment horizontal="right" vertical="center"/>
    </xf>
    <xf numFmtId="0" fontId="17" fillId="11" borderId="5" xfId="2" applyFont="1" applyFill="1" applyBorder="1" applyAlignment="1">
      <alignment horizontal="left" vertical="center"/>
    </xf>
    <xf numFmtId="2" fontId="25" fillId="8" borderId="1" xfId="3" applyNumberFormat="1" applyFont="1" applyAlignment="1">
      <alignment horizontal="left" vertical="center"/>
    </xf>
    <xf numFmtId="2" fontId="27" fillId="8" borderId="1" xfId="3" applyNumberFormat="1" applyFont="1" applyAlignment="1">
      <alignment horizontal="right" vertical="center"/>
    </xf>
    <xf numFmtId="2" fontId="25" fillId="8" borderId="1" xfId="3" applyNumberFormat="1" applyFont="1" applyAlignment="1">
      <alignment horizontal="left" vertical="center" wrapText="1"/>
    </xf>
    <xf numFmtId="2" fontId="25" fillId="8" borderId="1" xfId="3" applyNumberFormat="1" applyFont="1" applyAlignment="1">
      <alignment horizontal="right" vertical="center" wrapText="1"/>
    </xf>
    <xf numFmtId="0" fontId="17" fillId="11" borderId="4" xfId="2" applyFont="1" applyFill="1" applyBorder="1" applyAlignment="1">
      <alignment horizontal="center" vertical="center"/>
    </xf>
    <xf numFmtId="0" fontId="15" fillId="0" borderId="3" xfId="1" applyAlignment="1">
      <alignment horizontal="center" vertical="center"/>
    </xf>
    <xf numFmtId="0" fontId="0" fillId="0" borderId="3" xfId="0" applyBorder="1"/>
    <xf numFmtId="0" fontId="0" fillId="11" borderId="4" xfId="0" applyFill="1" applyBorder="1"/>
    <xf numFmtId="9" fontId="1" fillId="0" borderId="0" xfId="23" applyFont="1"/>
  </cellXfs>
  <cellStyles count="24">
    <cellStyle name="Accent" xfId="4" xr:uid="{7116D43F-70D4-47D0-99E4-53115688FD71}"/>
    <cellStyle name="Accent 1" xfId="5" xr:uid="{DC06F564-EA3D-4849-8D00-9DFB91ED4B4B}"/>
    <cellStyle name="Accent 2" xfId="6" xr:uid="{CEF31E10-DC6A-4889-B04C-0C59288A1473}"/>
    <cellStyle name="Accent 3" xfId="7" xr:uid="{3EB611A8-C263-41B0-B314-43FE506600D6}"/>
    <cellStyle name="Bad" xfId="8" xr:uid="{989974B4-6CCA-4F01-8571-C7E4BEC5497D}"/>
    <cellStyle name="Default" xfId="9" xr:uid="{7C245B95-5B2A-487B-A14B-D81CB38DDE98}"/>
    <cellStyle name="Error" xfId="10" xr:uid="{8C936DD6-B9B9-4CE6-833B-68F4DA068206}"/>
    <cellStyle name="Footnote" xfId="11" xr:uid="{BD14D123-5D59-4348-98B6-686754391900}"/>
    <cellStyle name="Good" xfId="12" xr:uid="{43FAFACC-3830-485A-B3D5-ABE4CC590E2F}"/>
    <cellStyle name="Heading" xfId="13" xr:uid="{E35A0584-BCE9-4F36-A3AA-1A7C49B8DF23}"/>
    <cellStyle name="Heading 1" xfId="14" xr:uid="{E6EEE660-3BBC-4042-8855-FAF44CE84023}"/>
    <cellStyle name="Heading 2" xfId="15" xr:uid="{C17721D2-CDFE-4C0E-B8E9-1876FF0CC83A}"/>
    <cellStyle name="Hyperlink" xfId="16" xr:uid="{8BF3A505-719B-4888-9A29-47F240D75A61}"/>
    <cellStyle name="Input" xfId="3" builtinId="20" customBuiltin="1"/>
    <cellStyle name="Neutral" xfId="17" xr:uid="{CCEC667D-D8B7-463C-986E-0CB20B1DA4BA}"/>
    <cellStyle name="Normale" xfId="0" builtinId="0" customBuiltin="1"/>
    <cellStyle name="Note" xfId="18" xr:uid="{8E8DD46F-F54E-41F2-B505-5B06094D502D}"/>
    <cellStyle name="Percentuale" xfId="23" builtinId="5"/>
    <cellStyle name="Result" xfId="19" xr:uid="{97F312DB-B7DE-415C-8170-9F7ADE93389C}"/>
    <cellStyle name="Status" xfId="20" xr:uid="{CD397A2D-95F4-4007-96AE-FC5E8117212F}"/>
    <cellStyle name="Text" xfId="21" xr:uid="{80346F4E-3013-48DA-BB70-80417F247C65}"/>
    <cellStyle name="Titolo 3" xfId="1" builtinId="18" customBuiltin="1"/>
    <cellStyle name="Titolo 4" xfId="2" builtinId="19" customBuiltin="1"/>
    <cellStyle name="Warning" xfId="22" xr:uid="{BD5C9EE0-F085-4A83-9B65-4B76516DD5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F99FF-2583-4B77-91EE-DC92E9125E15}">
  <dimension ref="B1:J331"/>
  <sheetViews>
    <sheetView tabSelected="1" topLeftCell="A318" zoomScale="140" zoomScaleNormal="140" workbookViewId="0">
      <selection activeCell="I332" sqref="I332"/>
    </sheetView>
  </sheetViews>
  <sheetFormatPr defaultRowHeight="15"/>
  <cols>
    <col min="1" max="1" width="4.7109375" style="3" customWidth="1"/>
    <col min="2" max="2" width="15" style="3" customWidth="1"/>
    <col min="3" max="3" width="14.5703125" style="3" customWidth="1"/>
    <col min="4" max="4" width="12.140625" style="3" customWidth="1"/>
    <col min="5" max="5" width="30.140625" style="3" customWidth="1"/>
    <col min="6" max="6" width="18.28515625" style="3" customWidth="1"/>
    <col min="7" max="7" width="12.140625" style="3" customWidth="1"/>
    <col min="8" max="8" width="21.28515625" style="3" bestFit="1" customWidth="1"/>
    <col min="9" max="9" width="22.5703125" style="3" bestFit="1" customWidth="1"/>
    <col min="10" max="10" width="55.140625" style="3" bestFit="1" customWidth="1"/>
    <col min="11" max="16384" width="9.140625" style="3"/>
  </cols>
  <sheetData>
    <row r="1" spans="2:6">
      <c r="B1" s="1"/>
      <c r="C1" s="2"/>
      <c r="D1" s="2"/>
      <c r="E1" s="1"/>
      <c r="F1" s="1"/>
    </row>
    <row r="2" spans="2:6" ht="15.75" thickBot="1">
      <c r="B2" s="1"/>
      <c r="C2" s="4" t="s">
        <v>0</v>
      </c>
      <c r="D2" s="4" t="s">
        <v>1</v>
      </c>
      <c r="E2" s="1"/>
      <c r="F2" s="1"/>
    </row>
    <row r="3" spans="2:6">
      <c r="B3" s="1"/>
      <c r="C3" s="1"/>
      <c r="D3" s="1"/>
      <c r="E3" s="1"/>
      <c r="F3" s="1"/>
    </row>
    <row r="4" spans="2:6">
      <c r="B4" s="1"/>
      <c r="C4" s="5" t="s">
        <v>2</v>
      </c>
      <c r="D4" s="6" t="s">
        <v>3</v>
      </c>
      <c r="E4" s="6" t="s">
        <v>4</v>
      </c>
      <c r="F4" s="7" t="s">
        <v>5</v>
      </c>
    </row>
    <row r="5" spans="2:6" ht="16.5">
      <c r="B5" s="1"/>
      <c r="C5" s="8">
        <v>0</v>
      </c>
      <c r="D5" s="8">
        <v>8</v>
      </c>
      <c r="E5" s="9">
        <f t="shared" ref="E5:E10" si="0">D5/D$10</f>
        <v>0.2</v>
      </c>
      <c r="F5" s="8">
        <f t="shared" ref="F5:F10" si="1">E5*100</f>
        <v>20</v>
      </c>
    </row>
    <row r="6" spans="2:6" ht="16.5">
      <c r="B6" s="1"/>
      <c r="C6" s="8">
        <v>1</v>
      </c>
      <c r="D6" s="8">
        <v>16</v>
      </c>
      <c r="E6" s="9">
        <f t="shared" si="0"/>
        <v>0.4</v>
      </c>
      <c r="F6" s="8">
        <f t="shared" si="1"/>
        <v>40</v>
      </c>
    </row>
    <row r="7" spans="2:6" ht="16.5">
      <c r="B7" s="1"/>
      <c r="C7" s="8">
        <v>2</v>
      </c>
      <c r="D7" s="8">
        <v>12</v>
      </c>
      <c r="E7" s="9">
        <f t="shared" si="0"/>
        <v>0.3</v>
      </c>
      <c r="F7" s="8">
        <f t="shared" si="1"/>
        <v>30</v>
      </c>
    </row>
    <row r="8" spans="2:6" ht="16.5">
      <c r="B8" s="1"/>
      <c r="C8" s="8">
        <v>3</v>
      </c>
      <c r="D8" s="8">
        <v>3</v>
      </c>
      <c r="E8" s="9">
        <f t="shared" si="0"/>
        <v>7.4999999999999997E-2</v>
      </c>
      <c r="F8" s="8">
        <f t="shared" si="1"/>
        <v>7.5</v>
      </c>
    </row>
    <row r="9" spans="2:6" ht="16.5">
      <c r="B9" s="1"/>
      <c r="C9" s="8">
        <v>4</v>
      </c>
      <c r="D9" s="8">
        <v>1</v>
      </c>
      <c r="E9" s="9">
        <f t="shared" si="0"/>
        <v>2.5000000000000001E-2</v>
      </c>
      <c r="F9" s="8">
        <f t="shared" si="1"/>
        <v>2.5</v>
      </c>
    </row>
    <row r="10" spans="2:6" ht="16.5">
      <c r="C10" s="10"/>
      <c r="D10" s="11">
        <f>SUM(D5:D9)</f>
        <v>40</v>
      </c>
      <c r="E10" s="12">
        <f t="shared" si="0"/>
        <v>1</v>
      </c>
      <c r="F10" s="13">
        <f t="shared" si="1"/>
        <v>100</v>
      </c>
    </row>
    <row r="12" spans="2:6">
      <c r="C12" s="14"/>
      <c r="D12" s="14"/>
    </row>
    <row r="13" spans="2:6" ht="15.75" thickBot="1">
      <c r="C13" s="46" t="s">
        <v>6</v>
      </c>
      <c r="D13" s="46"/>
      <c r="E13" s="1"/>
      <c r="F13" s="1"/>
    </row>
    <row r="14" spans="2:6">
      <c r="C14" s="1"/>
      <c r="D14" s="1"/>
      <c r="E14" s="1"/>
      <c r="F14" s="1"/>
    </row>
    <row r="15" spans="2:6">
      <c r="C15" s="5"/>
      <c r="D15" s="6" t="s">
        <v>7</v>
      </c>
      <c r="E15" s="6" t="s">
        <v>8</v>
      </c>
      <c r="F15" s="7" t="s">
        <v>9</v>
      </c>
    </row>
    <row r="16" spans="2:6" ht="16.5">
      <c r="C16" s="8" t="s">
        <v>10</v>
      </c>
      <c r="D16" s="8">
        <v>6</v>
      </c>
      <c r="E16" s="9">
        <f>D16/D$21</f>
        <v>0.2</v>
      </c>
      <c r="F16" s="9">
        <f t="shared" ref="F16:F21" si="2">E16*100</f>
        <v>20</v>
      </c>
    </row>
    <row r="17" spans="3:6" ht="16.5">
      <c r="C17" s="8" t="s">
        <v>11</v>
      </c>
      <c r="D17" s="8">
        <v>12</v>
      </c>
      <c r="E17" s="9">
        <f>D17/D$21</f>
        <v>0.4</v>
      </c>
      <c r="F17" s="9">
        <f t="shared" si="2"/>
        <v>40</v>
      </c>
    </row>
    <row r="18" spans="3:6" ht="16.5">
      <c r="C18" s="8" t="s">
        <v>12</v>
      </c>
      <c r="D18" s="8">
        <v>5</v>
      </c>
      <c r="E18" s="9">
        <f>D18/D$21</f>
        <v>0.16666666666666666</v>
      </c>
      <c r="F18" s="9">
        <f t="shared" si="2"/>
        <v>16.666666666666664</v>
      </c>
    </row>
    <row r="19" spans="3:6" ht="16.5">
      <c r="C19" s="8" t="s">
        <v>13</v>
      </c>
      <c r="D19" s="8">
        <v>5</v>
      </c>
      <c r="E19" s="9">
        <f>D19/D$21</f>
        <v>0.16666666666666666</v>
      </c>
      <c r="F19" s="9">
        <f t="shared" si="2"/>
        <v>16.666666666666664</v>
      </c>
    </row>
    <row r="20" spans="3:6" ht="16.5">
      <c r="C20" s="8" t="s">
        <v>14</v>
      </c>
      <c r="D20" s="8">
        <v>2</v>
      </c>
      <c r="E20" s="9">
        <f>D20/D$21</f>
        <v>6.6666666666666666E-2</v>
      </c>
      <c r="F20" s="9">
        <f t="shared" si="2"/>
        <v>6.666666666666667</v>
      </c>
    </row>
    <row r="21" spans="3:6" ht="16.5">
      <c r="C21" s="10"/>
      <c r="D21" s="11">
        <f>SUM(D16:D20)</f>
        <v>30</v>
      </c>
      <c r="E21" s="12">
        <f>D21/D21</f>
        <v>1</v>
      </c>
      <c r="F21" s="13">
        <f t="shared" si="2"/>
        <v>100</v>
      </c>
    </row>
    <row r="23" spans="3:6">
      <c r="C23" s="14"/>
      <c r="D23" s="14"/>
    </row>
    <row r="24" spans="3:6" ht="15.75" thickBot="1">
      <c r="C24" s="46" t="s">
        <v>15</v>
      </c>
      <c r="D24" s="46"/>
      <c r="E24" s="1"/>
      <c r="F24" s="1"/>
    </row>
    <row r="25" spans="3:6">
      <c r="C25" s="1"/>
      <c r="D25" s="1"/>
      <c r="E25" s="1"/>
      <c r="F25" s="1"/>
    </row>
    <row r="26" spans="3:6">
      <c r="C26" s="5"/>
      <c r="D26" s="6" t="s">
        <v>16</v>
      </c>
      <c r="E26" s="6" t="s">
        <v>17</v>
      </c>
      <c r="F26" s="7" t="s">
        <v>18</v>
      </c>
    </row>
    <row r="27" spans="3:6" ht="16.5">
      <c r="C27" s="8">
        <v>30</v>
      </c>
      <c r="D27" s="9">
        <f t="shared" ref="D27:D34" si="3">(C27-C$35)^2</f>
        <v>5.640625</v>
      </c>
      <c r="E27" s="9">
        <f t="shared" ref="E27:E34" si="4">(C27-25)^2</f>
        <v>25</v>
      </c>
      <c r="F27" s="9">
        <f t="shared" ref="F27:F34" si="5">(C27-28)^2</f>
        <v>4</v>
      </c>
    </row>
    <row r="28" spans="3:6" ht="16.5">
      <c r="C28" s="8">
        <v>27</v>
      </c>
      <c r="D28" s="9">
        <f t="shared" si="3"/>
        <v>0.390625</v>
      </c>
      <c r="E28" s="9">
        <f t="shared" si="4"/>
        <v>4</v>
      </c>
      <c r="F28" s="9">
        <f t="shared" si="5"/>
        <v>1</v>
      </c>
    </row>
    <row r="29" spans="3:6" ht="16.5">
      <c r="C29" s="8">
        <v>22</v>
      </c>
      <c r="D29" s="9">
        <f t="shared" si="3"/>
        <v>31.640625</v>
      </c>
      <c r="E29" s="9">
        <f t="shared" si="4"/>
        <v>9</v>
      </c>
      <c r="F29" s="9">
        <f t="shared" si="5"/>
        <v>36</v>
      </c>
    </row>
    <row r="30" spans="3:6" ht="16.5">
      <c r="C30" s="8">
        <v>29</v>
      </c>
      <c r="D30" s="9">
        <f t="shared" si="3"/>
        <v>1.890625</v>
      </c>
      <c r="E30" s="9">
        <f t="shared" si="4"/>
        <v>16</v>
      </c>
      <c r="F30" s="9">
        <f t="shared" si="5"/>
        <v>1</v>
      </c>
    </row>
    <row r="31" spans="3:6" ht="16.5">
      <c r="C31" s="8">
        <v>26</v>
      </c>
      <c r="D31" s="9">
        <f t="shared" si="3"/>
        <v>2.640625</v>
      </c>
      <c r="E31" s="9">
        <f t="shared" si="4"/>
        <v>1</v>
      </c>
      <c r="F31" s="9">
        <f t="shared" si="5"/>
        <v>4</v>
      </c>
    </row>
    <row r="32" spans="3:6" ht="16.5">
      <c r="C32" s="8">
        <v>30</v>
      </c>
      <c r="D32" s="9">
        <f t="shared" si="3"/>
        <v>5.640625</v>
      </c>
      <c r="E32" s="9">
        <f t="shared" si="4"/>
        <v>25</v>
      </c>
      <c r="F32" s="9">
        <f t="shared" si="5"/>
        <v>4</v>
      </c>
    </row>
    <row r="33" spans="3:6" ht="16.5">
      <c r="C33" s="8">
        <v>29</v>
      </c>
      <c r="D33" s="9">
        <f t="shared" si="3"/>
        <v>1.890625</v>
      </c>
      <c r="E33" s="9">
        <f t="shared" si="4"/>
        <v>16</v>
      </c>
      <c r="F33" s="9">
        <f t="shared" si="5"/>
        <v>1</v>
      </c>
    </row>
    <row r="34" spans="3:6" ht="16.5">
      <c r="C34" s="8">
        <v>28</v>
      </c>
      <c r="D34" s="9">
        <f t="shared" si="3"/>
        <v>0.140625</v>
      </c>
      <c r="E34" s="9">
        <f t="shared" si="4"/>
        <v>9</v>
      </c>
      <c r="F34" s="9">
        <f t="shared" si="5"/>
        <v>0</v>
      </c>
    </row>
    <row r="35" spans="3:6" ht="16.5">
      <c r="C35" s="11">
        <f>AVERAGE(C27:C34)</f>
        <v>27.625</v>
      </c>
      <c r="D35" s="11">
        <f>SUM(D27:D34)</f>
        <v>49.875</v>
      </c>
      <c r="E35" s="11">
        <f>SUM(E27:E34)</f>
        <v>105</v>
      </c>
      <c r="F35" s="11">
        <f>SUM(F27:F34)</f>
        <v>51</v>
      </c>
    </row>
    <row r="37" spans="3:6">
      <c r="C37" s="14"/>
      <c r="D37" s="14"/>
    </row>
    <row r="38" spans="3:6" ht="15.75" thickBot="1">
      <c r="C38" s="46" t="s">
        <v>19</v>
      </c>
      <c r="D38" s="46"/>
      <c r="E38" s="1"/>
      <c r="F38" s="1"/>
    </row>
    <row r="39" spans="3:6">
      <c r="C39" s="1"/>
      <c r="D39" s="1"/>
      <c r="E39" s="1"/>
      <c r="F39" s="1"/>
    </row>
    <row r="40" spans="3:6">
      <c r="C40" s="5"/>
      <c r="D40" s="6" t="s">
        <v>20</v>
      </c>
      <c r="E40" s="6"/>
      <c r="F40" s="7"/>
    </row>
    <row r="41" spans="3:6" ht="16.5">
      <c r="C41" s="8" t="s">
        <v>21</v>
      </c>
      <c r="D41" s="15">
        <v>45</v>
      </c>
      <c r="E41" s="9"/>
      <c r="F41" s="9"/>
    </row>
    <row r="42" spans="3:6" ht="16.5">
      <c r="C42" s="8" t="s">
        <v>22</v>
      </c>
      <c r="D42" s="15">
        <v>52</v>
      </c>
      <c r="E42" s="9"/>
      <c r="F42" s="9"/>
    </row>
    <row r="43" spans="3:6" ht="16.5">
      <c r="C43" s="8" t="s">
        <v>23</v>
      </c>
      <c r="D43" s="15">
        <v>48</v>
      </c>
      <c r="E43" s="9"/>
      <c r="F43" s="9"/>
    </row>
    <row r="44" spans="3:6" ht="16.5">
      <c r="C44" s="8" t="s">
        <v>24</v>
      </c>
      <c r="D44" s="15">
        <v>55</v>
      </c>
      <c r="E44" s="9"/>
      <c r="F44" s="9"/>
    </row>
    <row r="45" spans="3:6" ht="16.5">
      <c r="C45" s="8" t="s">
        <v>25</v>
      </c>
      <c r="D45" s="15">
        <v>50</v>
      </c>
      <c r="E45" s="9"/>
      <c r="F45" s="9"/>
    </row>
    <row r="46" spans="3:6" ht="16.5">
      <c r="C46" s="16" t="s">
        <v>26</v>
      </c>
      <c r="D46" s="17">
        <f>SUM(D41:D45)</f>
        <v>250</v>
      </c>
      <c r="E46" s="9"/>
      <c r="F46" s="9"/>
    </row>
    <row r="47" spans="3:6" ht="16.5">
      <c r="C47" s="16" t="s">
        <v>27</v>
      </c>
      <c r="D47" s="17">
        <f>D46/5</f>
        <v>50</v>
      </c>
      <c r="E47" s="9"/>
      <c r="F47" s="9"/>
    </row>
    <row r="48" spans="3:6" ht="16.5">
      <c r="C48" s="8"/>
      <c r="D48" s="9"/>
      <c r="E48" s="9"/>
      <c r="F48" s="9"/>
    </row>
    <row r="49" spans="3:6" ht="16.5">
      <c r="C49" s="11"/>
      <c r="D49" s="11"/>
      <c r="E49" s="11"/>
      <c r="F49" s="11"/>
    </row>
    <row r="51" spans="3:6">
      <c r="C51" s="14"/>
      <c r="D51" s="14"/>
    </row>
    <row r="52" spans="3:6" ht="15.75" thickBot="1">
      <c r="C52" s="47"/>
      <c r="D52" s="47"/>
      <c r="E52" s="1"/>
      <c r="F52" s="1"/>
    </row>
    <row r="53" spans="3:6">
      <c r="C53" s="1"/>
      <c r="D53" s="1"/>
      <c r="E53" s="1"/>
      <c r="F53" s="1"/>
    </row>
    <row r="54" spans="3:6">
      <c r="C54" s="48"/>
      <c r="D54" s="48"/>
      <c r="E54" s="6" t="s">
        <v>28</v>
      </c>
      <c r="F54" s="7" t="s">
        <v>29</v>
      </c>
    </row>
    <row r="55" spans="3:6">
      <c r="C55" s="45" t="s">
        <v>30</v>
      </c>
      <c r="D55" s="45"/>
      <c r="E55" s="6" t="s">
        <v>31</v>
      </c>
      <c r="F55" s="7" t="s">
        <v>32</v>
      </c>
    </row>
    <row r="56" spans="3:6" ht="16.5">
      <c r="C56" s="8">
        <v>1</v>
      </c>
      <c r="D56" s="19" t="s">
        <v>33</v>
      </c>
      <c r="E56" s="20">
        <v>500</v>
      </c>
      <c r="F56" s="24">
        <f>E56*100</f>
        <v>50000</v>
      </c>
    </row>
    <row r="57" spans="3:6" ht="16.5">
      <c r="C57" s="8">
        <v>2</v>
      </c>
      <c r="D57" s="19" t="s">
        <v>34</v>
      </c>
      <c r="E57" s="20">
        <v>500</v>
      </c>
      <c r="F57" s="24">
        <f t="shared" ref="F57:F76" si="6">E57*100</f>
        <v>50000</v>
      </c>
    </row>
    <row r="58" spans="3:6" ht="16.5">
      <c r="C58" s="8">
        <v>3</v>
      </c>
      <c r="D58" s="19" t="s">
        <v>35</v>
      </c>
      <c r="E58" s="20">
        <v>500</v>
      </c>
      <c r="F58" s="24">
        <f t="shared" si="6"/>
        <v>50000</v>
      </c>
    </row>
    <row r="59" spans="3:6" ht="16.5">
      <c r="C59" s="8">
        <v>4</v>
      </c>
      <c r="D59" s="19" t="s">
        <v>36</v>
      </c>
      <c r="E59" s="20">
        <v>500</v>
      </c>
      <c r="F59" s="24">
        <f t="shared" si="6"/>
        <v>50000</v>
      </c>
    </row>
    <row r="60" spans="3:6" ht="16.5">
      <c r="C60" s="8">
        <v>5</v>
      </c>
      <c r="D60" s="19" t="s">
        <v>37</v>
      </c>
      <c r="E60" s="20">
        <v>500</v>
      </c>
      <c r="F60" s="24">
        <f t="shared" si="6"/>
        <v>50000</v>
      </c>
    </row>
    <row r="61" spans="3:6" ht="16.5">
      <c r="C61" s="8">
        <v>6</v>
      </c>
      <c r="D61" s="21" t="s">
        <v>38</v>
      </c>
      <c r="E61" s="20">
        <v>3500</v>
      </c>
      <c r="F61" s="24">
        <f t="shared" si="6"/>
        <v>350000</v>
      </c>
    </row>
    <row r="62" spans="3:6" ht="16.5">
      <c r="C62" s="8">
        <v>7</v>
      </c>
      <c r="D62" s="21" t="s">
        <v>39</v>
      </c>
      <c r="E62" s="20">
        <v>3500</v>
      </c>
      <c r="F62" s="24">
        <f t="shared" si="6"/>
        <v>350000</v>
      </c>
    </row>
    <row r="63" spans="3:6" ht="16.5">
      <c r="C63" s="8">
        <v>8</v>
      </c>
      <c r="D63" s="22" t="s">
        <v>40</v>
      </c>
      <c r="E63" s="20">
        <v>7500</v>
      </c>
      <c r="F63" s="24">
        <f t="shared" si="6"/>
        <v>750000</v>
      </c>
    </row>
    <row r="64" spans="3:6" ht="16.5">
      <c r="C64" s="8">
        <v>9</v>
      </c>
      <c r="D64" s="23" t="s">
        <v>41</v>
      </c>
      <c r="E64" s="20">
        <v>7500</v>
      </c>
      <c r="F64" s="24">
        <f t="shared" si="6"/>
        <v>750000</v>
      </c>
    </row>
    <row r="65" spans="3:7" ht="16.5">
      <c r="C65" s="8">
        <v>10</v>
      </c>
      <c r="D65" s="23" t="s">
        <v>42</v>
      </c>
      <c r="E65" s="20">
        <v>7500</v>
      </c>
      <c r="F65" s="24">
        <f t="shared" si="6"/>
        <v>750000</v>
      </c>
    </row>
    <row r="66" spans="3:7" ht="16.5">
      <c r="C66" s="8">
        <v>11</v>
      </c>
      <c r="D66" s="23" t="s">
        <v>43</v>
      </c>
      <c r="E66" s="20">
        <v>14000</v>
      </c>
      <c r="F66" s="24">
        <f t="shared" si="6"/>
        <v>1400000</v>
      </c>
    </row>
    <row r="67" spans="3:7" ht="16.5">
      <c r="C67" s="8">
        <v>12</v>
      </c>
      <c r="D67" s="23" t="s">
        <v>44</v>
      </c>
      <c r="E67" s="20">
        <v>15000</v>
      </c>
      <c r="F67" s="24">
        <f t="shared" si="6"/>
        <v>1500000</v>
      </c>
    </row>
    <row r="68" spans="3:7" ht="16.5">
      <c r="C68" s="8">
        <v>13</v>
      </c>
      <c r="D68" s="23" t="s">
        <v>45</v>
      </c>
      <c r="E68" s="20">
        <v>15000</v>
      </c>
      <c r="F68" s="24">
        <f t="shared" si="6"/>
        <v>1500000</v>
      </c>
    </row>
    <row r="69" spans="3:7" ht="16.5">
      <c r="C69" s="8">
        <v>14</v>
      </c>
      <c r="D69" s="23" t="s">
        <v>46</v>
      </c>
      <c r="E69" s="20">
        <v>15000</v>
      </c>
      <c r="F69" s="24">
        <f t="shared" si="6"/>
        <v>1500000</v>
      </c>
    </row>
    <row r="70" spans="3:7" ht="16.5">
      <c r="C70" s="8">
        <v>15</v>
      </c>
      <c r="D70" s="23" t="s">
        <v>47</v>
      </c>
      <c r="E70" s="20">
        <v>15000</v>
      </c>
      <c r="F70" s="24">
        <f t="shared" si="6"/>
        <v>1500000</v>
      </c>
    </row>
    <row r="71" spans="3:7" ht="16.5">
      <c r="C71" s="8">
        <v>16</v>
      </c>
      <c r="D71" s="23" t="s">
        <v>48</v>
      </c>
      <c r="E71" s="20">
        <v>15000</v>
      </c>
      <c r="F71" s="24">
        <f t="shared" si="6"/>
        <v>1500000</v>
      </c>
    </row>
    <row r="72" spans="3:7" ht="16.5">
      <c r="C72" s="8">
        <v>17</v>
      </c>
      <c r="D72" s="23" t="s">
        <v>49</v>
      </c>
      <c r="E72" s="20">
        <v>15000</v>
      </c>
      <c r="F72" s="24">
        <f t="shared" si="6"/>
        <v>1500000</v>
      </c>
    </row>
    <row r="73" spans="3:7" ht="16.5">
      <c r="C73" s="8">
        <v>18</v>
      </c>
      <c r="D73" s="23" t="s">
        <v>50</v>
      </c>
      <c r="E73" s="20">
        <v>20000</v>
      </c>
      <c r="F73" s="24">
        <f t="shared" si="6"/>
        <v>2000000</v>
      </c>
    </row>
    <row r="74" spans="3:7" ht="16.5">
      <c r="C74" s="8">
        <v>19</v>
      </c>
      <c r="D74" s="23" t="s">
        <v>51</v>
      </c>
      <c r="E74" s="20">
        <v>20000</v>
      </c>
      <c r="F74" s="24">
        <f t="shared" si="6"/>
        <v>2000000</v>
      </c>
    </row>
    <row r="75" spans="3:7" ht="16.5">
      <c r="C75" s="8">
        <v>20</v>
      </c>
      <c r="D75" s="23" t="s">
        <v>52</v>
      </c>
      <c r="E75" s="20">
        <v>20000</v>
      </c>
      <c r="F75" s="24">
        <f t="shared" si="6"/>
        <v>2000000</v>
      </c>
    </row>
    <row r="76" spans="3:7" ht="16.5">
      <c r="C76" s="8">
        <v>21</v>
      </c>
      <c r="D76" s="23" t="s">
        <v>53</v>
      </c>
      <c r="E76" s="20">
        <v>20000</v>
      </c>
      <c r="F76" s="24">
        <f t="shared" si="6"/>
        <v>2000000</v>
      </c>
    </row>
    <row r="77" spans="3:7" ht="16.5">
      <c r="E77" s="11">
        <f>SUM(E56:E76)</f>
        <v>216000</v>
      </c>
      <c r="F77" s="26">
        <f>SUM(F56:F76)</f>
        <v>21600000</v>
      </c>
    </row>
    <row r="78" spans="3:7">
      <c r="F78" s="25"/>
    </row>
    <row r="79" spans="3:7">
      <c r="C79" s="18" t="s">
        <v>54</v>
      </c>
      <c r="D79" s="6" t="s">
        <v>7</v>
      </c>
      <c r="E79" s="6" t="s">
        <v>55</v>
      </c>
      <c r="F79" s="6" t="s">
        <v>56</v>
      </c>
      <c r="G79" s="7" t="s">
        <v>57</v>
      </c>
    </row>
    <row r="80" spans="3:7" ht="16.5">
      <c r="C80" s="32">
        <v>500</v>
      </c>
      <c r="D80" s="20">
        <f>COUNTIF(E$56:E$76,500)</f>
        <v>5</v>
      </c>
      <c r="E80" s="9">
        <f>D80/D$86*100</f>
        <v>23.809523809523807</v>
      </c>
      <c r="F80" s="32">
        <f>D80*C80</f>
        <v>2500</v>
      </c>
      <c r="G80" s="27"/>
    </row>
    <row r="81" spans="3:7" ht="16.5">
      <c r="C81" s="32">
        <v>3500</v>
      </c>
      <c r="D81" s="20">
        <f>COUNTIF(E$56:E$76,3500)</f>
        <v>2</v>
      </c>
      <c r="E81" s="9">
        <f t="shared" ref="E81:E85" si="7">D81/D$86*100</f>
        <v>9.5238095238095237</v>
      </c>
      <c r="F81" s="32">
        <f t="shared" ref="F81:F85" si="8">D81*C81</f>
        <v>7000</v>
      </c>
      <c r="G81" s="9"/>
    </row>
    <row r="82" spans="3:7" ht="16.5">
      <c r="C82" s="32">
        <v>7500</v>
      </c>
      <c r="D82" s="20">
        <f>COUNTIF(E$56:E$76,7500)</f>
        <v>3</v>
      </c>
      <c r="E82" s="9">
        <f t="shared" si="7"/>
        <v>14.285714285714285</v>
      </c>
      <c r="F82" s="32">
        <f t="shared" si="8"/>
        <v>22500</v>
      </c>
      <c r="G82" s="9"/>
    </row>
    <row r="83" spans="3:7" ht="16.5">
      <c r="C83" s="32">
        <v>14000</v>
      </c>
      <c r="D83" s="20">
        <f>COUNTIF(E$56:E$76,14000)</f>
        <v>1</v>
      </c>
      <c r="E83" s="9">
        <f t="shared" si="7"/>
        <v>4.7619047619047619</v>
      </c>
      <c r="F83" s="32">
        <f t="shared" si="8"/>
        <v>14000</v>
      </c>
      <c r="G83" s="9"/>
    </row>
    <row r="84" spans="3:7" ht="16.5">
      <c r="C84" s="32">
        <v>15000</v>
      </c>
      <c r="D84" s="20">
        <f>COUNTIF(E$56:E$76,15000)</f>
        <v>6</v>
      </c>
      <c r="E84" s="9">
        <f t="shared" si="7"/>
        <v>28.571428571428569</v>
      </c>
      <c r="F84" s="32">
        <f t="shared" si="8"/>
        <v>90000</v>
      </c>
      <c r="G84" s="9"/>
    </row>
    <row r="85" spans="3:7" ht="16.5">
      <c r="C85" s="32">
        <v>20000</v>
      </c>
      <c r="D85" s="20">
        <f>COUNTIF(E$56:E$76,20000)</f>
        <v>4</v>
      </c>
      <c r="E85" s="9">
        <f t="shared" si="7"/>
        <v>19.047619047619047</v>
      </c>
      <c r="F85" s="32">
        <f t="shared" si="8"/>
        <v>80000</v>
      </c>
      <c r="G85" s="9"/>
    </row>
    <row r="86" spans="3:7" ht="17.25">
      <c r="C86" s="33">
        <f>SUM(C80:C85)</f>
        <v>60500</v>
      </c>
      <c r="D86" s="28">
        <f>SUM(D80:D85)</f>
        <v>21</v>
      </c>
      <c r="E86" s="30">
        <f>SUM(E80:E85)</f>
        <v>99.999999999999986</v>
      </c>
      <c r="F86" s="33">
        <f>(F80+F81+F82+F83+F84+F85)/D86</f>
        <v>10285.714285714286</v>
      </c>
      <c r="G86" s="29"/>
    </row>
    <row r="87" spans="3:7" ht="16.5">
      <c r="C87" s="8"/>
      <c r="D87" s="22"/>
      <c r="E87" s="9"/>
      <c r="F87" s="9"/>
      <c r="G87" s="9"/>
    </row>
    <row r="89" spans="3:7">
      <c r="C89" s="18" t="s">
        <v>58</v>
      </c>
      <c r="D89" s="6" t="s">
        <v>7</v>
      </c>
      <c r="E89" s="6" t="s">
        <v>55</v>
      </c>
      <c r="F89" s="6" t="s">
        <v>56</v>
      </c>
      <c r="G89" s="7" t="s">
        <v>57</v>
      </c>
    </row>
    <row r="90" spans="3:7" ht="16.5">
      <c r="C90" s="24">
        <f>C80*100</f>
        <v>50000</v>
      </c>
      <c r="D90" s="20">
        <f>COUNTIF(E$56:E$76,500)</f>
        <v>5</v>
      </c>
      <c r="E90" s="9">
        <f>D90/D$96*100</f>
        <v>23.809523809523807</v>
      </c>
      <c r="F90" s="24">
        <f>D90*C90</f>
        <v>250000</v>
      </c>
      <c r="G90" s="27"/>
    </row>
    <row r="91" spans="3:7" ht="16.5">
      <c r="C91" s="24">
        <f t="shared" ref="C91:C95" si="9">C81*100</f>
        <v>350000</v>
      </c>
      <c r="D91" s="20">
        <f>COUNTIF(E$56:E$76,3500)</f>
        <v>2</v>
      </c>
      <c r="E91" s="9">
        <f t="shared" ref="E91:E95" si="10">D91/D$96*100</f>
        <v>9.5238095238095237</v>
      </c>
      <c r="F91" s="24">
        <f t="shared" ref="F91:F95" si="11">D91*C91</f>
        <v>700000</v>
      </c>
      <c r="G91" s="9"/>
    </row>
    <row r="92" spans="3:7" ht="16.5">
      <c r="C92" s="24">
        <f t="shared" si="9"/>
        <v>750000</v>
      </c>
      <c r="D92" s="20">
        <f>COUNTIF(E$56:E$76,7500)</f>
        <v>3</v>
      </c>
      <c r="E92" s="9">
        <f t="shared" si="10"/>
        <v>14.285714285714285</v>
      </c>
      <c r="F92" s="24">
        <f t="shared" si="11"/>
        <v>2250000</v>
      </c>
      <c r="G92" s="9"/>
    </row>
    <row r="93" spans="3:7" ht="16.5">
      <c r="C93" s="24">
        <f t="shared" si="9"/>
        <v>1400000</v>
      </c>
      <c r="D93" s="20">
        <f>COUNTIF(E$56:E$76,14000)</f>
        <v>1</v>
      </c>
      <c r="E93" s="9">
        <f t="shared" si="10"/>
        <v>4.7619047619047619</v>
      </c>
      <c r="F93" s="24">
        <f t="shared" si="11"/>
        <v>1400000</v>
      </c>
      <c r="G93" s="9"/>
    </row>
    <row r="94" spans="3:7" ht="16.5">
      <c r="C94" s="24">
        <f t="shared" si="9"/>
        <v>1500000</v>
      </c>
      <c r="D94" s="20">
        <f>COUNTIF(E$56:E$76,15000)</f>
        <v>6</v>
      </c>
      <c r="E94" s="9">
        <f t="shared" si="10"/>
        <v>28.571428571428569</v>
      </c>
      <c r="F94" s="24">
        <f t="shared" si="11"/>
        <v>9000000</v>
      </c>
      <c r="G94" s="9"/>
    </row>
    <row r="95" spans="3:7" ht="16.5">
      <c r="C95" s="24">
        <f t="shared" si="9"/>
        <v>2000000</v>
      </c>
      <c r="D95" s="20">
        <f>COUNTIF(E$56:E$76,20000)</f>
        <v>4</v>
      </c>
      <c r="E95" s="9">
        <f t="shared" si="10"/>
        <v>19.047619047619047</v>
      </c>
      <c r="F95" s="24">
        <f t="shared" si="11"/>
        <v>8000000</v>
      </c>
      <c r="G95" s="9"/>
    </row>
    <row r="96" spans="3:7" ht="17.25">
      <c r="C96" s="31">
        <f>SUM(C90:C95)</f>
        <v>6050000</v>
      </c>
      <c r="D96" s="28">
        <f>SUM(D90:D95)</f>
        <v>21</v>
      </c>
      <c r="E96" s="30">
        <f>SUM(E90:E95)</f>
        <v>99.999999999999986</v>
      </c>
      <c r="F96" s="31">
        <f>SUM(F90:F95)</f>
        <v>21600000</v>
      </c>
      <c r="G96" s="29"/>
    </row>
    <row r="97" spans="3:7" ht="17.25">
      <c r="C97" s="8"/>
      <c r="D97" s="22"/>
      <c r="E97" s="9" t="s">
        <v>59</v>
      </c>
      <c r="F97" s="31">
        <f>F96/D96</f>
        <v>1028571.4285714285</v>
      </c>
      <c r="G97" s="9"/>
    </row>
    <row r="100" spans="3:7">
      <c r="C100" s="18" t="s">
        <v>54</v>
      </c>
      <c r="D100" s="6" t="s">
        <v>7</v>
      </c>
      <c r="E100" s="6" t="s">
        <v>55</v>
      </c>
      <c r="F100" s="6" t="s">
        <v>56</v>
      </c>
      <c r="G100" s="7" t="s">
        <v>57</v>
      </c>
    </row>
    <row r="101" spans="3:7" ht="16.5">
      <c r="C101" s="32">
        <v>500</v>
      </c>
      <c r="D101" s="20">
        <f>COUNTIF(E$56:E$76,500)</f>
        <v>5</v>
      </c>
      <c r="E101" s="9">
        <f>D101/D$86*100</f>
        <v>23.809523809523807</v>
      </c>
      <c r="F101" s="32">
        <f>D101*C101</f>
        <v>2500</v>
      </c>
      <c r="G101" s="27"/>
    </row>
    <row r="102" spans="3:7" ht="16.5">
      <c r="C102" s="32">
        <v>3500</v>
      </c>
      <c r="D102" s="20">
        <f>COUNTIF(E$56:E$76,3500)</f>
        <v>2</v>
      </c>
      <c r="E102" s="9">
        <f t="shared" ref="E102:E106" si="12">D102/D$86*100</f>
        <v>9.5238095238095237</v>
      </c>
      <c r="F102" s="32">
        <f t="shared" ref="F102:F106" si="13">D102*C102</f>
        <v>7000</v>
      </c>
      <c r="G102" s="9"/>
    </row>
    <row r="103" spans="3:7" ht="16.5">
      <c r="C103" s="32">
        <v>7500</v>
      </c>
      <c r="D103" s="20">
        <f>COUNTIF(E$56:E$76,7500)</f>
        <v>3</v>
      </c>
      <c r="E103" s="9">
        <f t="shared" si="12"/>
        <v>14.285714285714285</v>
      </c>
      <c r="F103" s="32">
        <f t="shared" si="13"/>
        <v>22500</v>
      </c>
      <c r="G103" s="9"/>
    </row>
    <row r="104" spans="3:7" ht="16.5">
      <c r="C104" s="32">
        <v>14000</v>
      </c>
      <c r="D104" s="20">
        <f>COUNTIF(E$56:E$76,14000)</f>
        <v>1</v>
      </c>
      <c r="E104" s="9">
        <f t="shared" si="12"/>
        <v>4.7619047619047619</v>
      </c>
      <c r="F104" s="32">
        <f t="shared" si="13"/>
        <v>14000</v>
      </c>
      <c r="G104" s="9"/>
    </row>
    <row r="105" spans="3:7" ht="16.5">
      <c r="C105" s="32">
        <v>15000</v>
      </c>
      <c r="D105" s="20">
        <f>COUNTIF(E$56:E$76,15000)</f>
        <v>6</v>
      </c>
      <c r="E105" s="9">
        <f t="shared" si="12"/>
        <v>28.571428571428569</v>
      </c>
      <c r="F105" s="32">
        <f t="shared" si="13"/>
        <v>90000</v>
      </c>
      <c r="G105" s="9"/>
    </row>
    <row r="106" spans="3:7" ht="16.5">
      <c r="C106" s="32">
        <v>20000</v>
      </c>
      <c r="D106" s="20">
        <v>3</v>
      </c>
      <c r="E106" s="9">
        <f t="shared" si="12"/>
        <v>14.285714285714285</v>
      </c>
      <c r="F106" s="32">
        <f t="shared" si="13"/>
        <v>60000</v>
      </c>
      <c r="G106" s="9"/>
    </row>
    <row r="107" spans="3:7" ht="17.25">
      <c r="C107" s="33">
        <f>SUM(C101:C106)</f>
        <v>60500</v>
      </c>
      <c r="D107" s="28">
        <f>SUM(D101:D106)</f>
        <v>20</v>
      </c>
      <c r="E107" s="30">
        <f>SUM(E101:E106)</f>
        <v>95.238095238095212</v>
      </c>
      <c r="F107" s="33">
        <f>(F101+F102+F103+F104+F105+F106)/D107</f>
        <v>9800</v>
      </c>
      <c r="G107" s="29"/>
    </row>
    <row r="108" spans="3:7" ht="16.5">
      <c r="C108" s="8"/>
      <c r="D108" s="22"/>
      <c r="E108" s="9"/>
      <c r="F108" s="9"/>
      <c r="G108" s="9"/>
    </row>
    <row r="114" spans="3:7">
      <c r="C114" s="18" t="s">
        <v>60</v>
      </c>
      <c r="D114" s="6" t="s">
        <v>7</v>
      </c>
      <c r="E114" s="6" t="s">
        <v>55</v>
      </c>
      <c r="F114" s="6" t="s">
        <v>56</v>
      </c>
      <c r="G114" s="7" t="s">
        <v>57</v>
      </c>
    </row>
    <row r="115" spans="3:7" ht="16.5">
      <c r="C115" s="24">
        <v>1800</v>
      </c>
      <c r="D115" s="20"/>
      <c r="E115" s="9"/>
      <c r="F115" s="32"/>
      <c r="G115" s="27"/>
    </row>
    <row r="116" spans="3:7" ht="16.5">
      <c r="C116" s="24">
        <v>2100</v>
      </c>
      <c r="D116" s="20"/>
      <c r="E116" s="9"/>
      <c r="F116" s="32"/>
      <c r="G116" s="9"/>
    </row>
    <row r="117" spans="3:7" ht="16.5">
      <c r="C117" s="24">
        <v>2300</v>
      </c>
      <c r="D117" s="20"/>
      <c r="E117" s="9"/>
      <c r="F117" s="32"/>
      <c r="G117" s="9"/>
    </row>
    <row r="118" spans="3:7" ht="16.5">
      <c r="C118" s="24">
        <v>2500</v>
      </c>
      <c r="D118" s="20"/>
      <c r="E118" s="9"/>
      <c r="F118" s="32"/>
      <c r="G118" s="9"/>
    </row>
    <row r="119" spans="3:7" ht="16.5">
      <c r="C119" s="24">
        <v>2700</v>
      </c>
      <c r="D119" s="20"/>
      <c r="E119" s="9"/>
      <c r="F119" s="32"/>
      <c r="G119" s="9"/>
    </row>
    <row r="120" spans="3:7" ht="16.5">
      <c r="C120" s="24">
        <v>3200</v>
      </c>
      <c r="D120" s="20"/>
      <c r="E120" s="9"/>
      <c r="F120" s="32"/>
      <c r="G120" s="9"/>
    </row>
    <row r="121" spans="3:7" ht="17.25">
      <c r="C121" s="24">
        <v>8500</v>
      </c>
      <c r="D121" s="28"/>
      <c r="E121" s="30"/>
      <c r="F121" s="33"/>
      <c r="G121" s="29"/>
    </row>
    <row r="122" spans="3:7" ht="17.25">
      <c r="C122" s="31">
        <f>SUM(C115:C121)</f>
        <v>23100</v>
      </c>
      <c r="D122" s="34" t="s">
        <v>63</v>
      </c>
      <c r="E122" s="9"/>
      <c r="F122" s="9"/>
      <c r="G122" s="9"/>
    </row>
    <row r="123" spans="3:7" ht="17.25">
      <c r="C123" s="31">
        <f>AVERAGE(C115:C121)</f>
        <v>3300</v>
      </c>
      <c r="D123" s="34" t="s">
        <v>61</v>
      </c>
    </row>
    <row r="124" spans="3:7" ht="17.25">
      <c r="C124" s="31">
        <f>MEDIAN(C115:C121)</f>
        <v>2500</v>
      </c>
      <c r="D124" s="34" t="s">
        <v>62</v>
      </c>
    </row>
    <row r="128" spans="3:7">
      <c r="C128" s="18" t="s">
        <v>64</v>
      </c>
      <c r="D128" s="6"/>
      <c r="E128" s="6"/>
      <c r="F128" s="6"/>
      <c r="G128" s="7"/>
    </row>
    <row r="129" spans="3:9" ht="16.5">
      <c r="C129" s="32">
        <v>12000</v>
      </c>
      <c r="D129" s="20"/>
      <c r="E129" s="9"/>
      <c r="F129" s="32"/>
      <c r="G129" s="27"/>
    </row>
    <row r="130" spans="3:9" ht="16.5">
      <c r="C130" s="32">
        <v>15000</v>
      </c>
      <c r="D130" s="20"/>
      <c r="E130" s="9"/>
      <c r="F130" s="32"/>
      <c r="G130" s="9"/>
    </row>
    <row r="131" spans="3:9" ht="16.5">
      <c r="C131" s="32">
        <v>18000</v>
      </c>
      <c r="D131" s="20"/>
      <c r="E131" s="9"/>
      <c r="F131" s="32"/>
      <c r="G131" s="9"/>
    </row>
    <row r="132" spans="3:9" ht="16.5">
      <c r="C132" s="32">
        <v>22000</v>
      </c>
      <c r="D132" s="20"/>
      <c r="E132" s="9"/>
      <c r="F132" s="32"/>
      <c r="G132" s="9"/>
    </row>
    <row r="133" spans="3:9" ht="16.5">
      <c r="C133" s="32">
        <v>25000</v>
      </c>
      <c r="D133" s="20"/>
      <c r="E133" s="9"/>
      <c r="F133" s="32"/>
      <c r="G133" s="9"/>
    </row>
    <row r="134" spans="3:9" ht="16.5">
      <c r="C134" s="32">
        <v>28000</v>
      </c>
      <c r="D134" s="20"/>
      <c r="E134" s="9"/>
      <c r="F134" s="32"/>
      <c r="G134" s="9"/>
    </row>
    <row r="135" spans="3:9" ht="17.25">
      <c r="C135" s="32">
        <v>32000</v>
      </c>
      <c r="D135" s="28"/>
      <c r="E135" s="30"/>
      <c r="F135" s="33"/>
      <c r="G135" s="29"/>
    </row>
    <row r="136" spans="3:9" ht="17.25">
      <c r="C136" s="32">
        <v>35000</v>
      </c>
      <c r="D136" s="28"/>
      <c r="E136" s="30"/>
      <c r="F136" s="33"/>
      <c r="G136" s="29"/>
    </row>
    <row r="137" spans="3:9" ht="17.25">
      <c r="C137" s="32">
        <v>38000</v>
      </c>
      <c r="D137" s="28"/>
      <c r="E137" s="30"/>
      <c r="F137" s="33"/>
      <c r="G137" s="29"/>
    </row>
    <row r="138" spans="3:9" ht="17.25">
      <c r="C138" s="32">
        <v>120000</v>
      </c>
      <c r="D138" s="28"/>
      <c r="E138" s="30"/>
      <c r="F138" s="33"/>
      <c r="G138" s="29"/>
    </row>
    <row r="139" spans="3:9" ht="17.25">
      <c r="C139" s="33">
        <f>SUM(C129:C138)</f>
        <v>345000</v>
      </c>
      <c r="D139" s="34" t="s">
        <v>63</v>
      </c>
      <c r="E139" s="9"/>
      <c r="F139" s="9"/>
      <c r="G139" s="9"/>
    </row>
    <row r="140" spans="3:9" ht="17.25">
      <c r="C140" s="33">
        <f>AVERAGE(C129:C138)</f>
        <v>34500</v>
      </c>
      <c r="D140" s="34" t="s">
        <v>61</v>
      </c>
    </row>
    <row r="141" spans="3:9" ht="17.25">
      <c r="C141" s="33">
        <f>MEDIAN(C129:C138)</f>
        <v>26500</v>
      </c>
      <c r="D141" s="34" t="s">
        <v>62</v>
      </c>
    </row>
    <row r="144" spans="3:9">
      <c r="C144" s="18" t="s">
        <v>65</v>
      </c>
      <c r="D144" s="6" t="s">
        <v>66</v>
      </c>
      <c r="E144" s="6" t="s">
        <v>67</v>
      </c>
      <c r="F144" s="6" t="s">
        <v>68</v>
      </c>
      <c r="G144" s="6" t="s">
        <v>69</v>
      </c>
      <c r="H144" s="37" t="s">
        <v>63</v>
      </c>
      <c r="I144" s="37" t="s">
        <v>61</v>
      </c>
    </row>
    <row r="145" spans="3:9" ht="17.25">
      <c r="C145" s="32" t="s">
        <v>70</v>
      </c>
      <c r="D145" s="20">
        <v>15</v>
      </c>
      <c r="E145" s="20">
        <v>8</v>
      </c>
      <c r="F145" s="20">
        <v>12</v>
      </c>
      <c r="G145" s="36">
        <v>5</v>
      </c>
      <c r="H145" s="33">
        <f>SUM(D145:G145)</f>
        <v>40</v>
      </c>
      <c r="I145" s="33">
        <f>AVERAGE(D145:G145)</f>
        <v>10</v>
      </c>
    </row>
    <row r="146" spans="3:9" ht="17.25">
      <c r="C146" s="32" t="s">
        <v>71</v>
      </c>
      <c r="D146" s="20">
        <v>18</v>
      </c>
      <c r="E146" s="20">
        <v>10</v>
      </c>
      <c r="F146" s="20">
        <v>15</v>
      </c>
      <c r="G146" s="20">
        <v>6</v>
      </c>
      <c r="H146" s="33">
        <f t="shared" ref="H146:H149" si="14">SUM(D146:G146)</f>
        <v>49</v>
      </c>
      <c r="I146" s="33">
        <f t="shared" ref="I146:I148" si="15">AVERAGE(D146:G146)</f>
        <v>12.25</v>
      </c>
    </row>
    <row r="147" spans="3:9" ht="17.25">
      <c r="C147" s="32" t="s">
        <v>72</v>
      </c>
      <c r="D147" s="20">
        <v>20</v>
      </c>
      <c r="E147" s="20">
        <v>9</v>
      </c>
      <c r="F147" s="20">
        <v>14</v>
      </c>
      <c r="G147" s="20">
        <v>7</v>
      </c>
      <c r="H147" s="33">
        <f t="shared" si="14"/>
        <v>50</v>
      </c>
      <c r="I147" s="33">
        <f t="shared" si="15"/>
        <v>12.5</v>
      </c>
    </row>
    <row r="148" spans="3:9" ht="17.25">
      <c r="C148" s="32" t="s">
        <v>73</v>
      </c>
      <c r="D148" s="20">
        <v>22</v>
      </c>
      <c r="E148" s="20">
        <v>11</v>
      </c>
      <c r="F148" s="20">
        <v>16</v>
      </c>
      <c r="G148" s="20">
        <v>8</v>
      </c>
      <c r="H148" s="33">
        <f t="shared" si="14"/>
        <v>57</v>
      </c>
      <c r="I148" s="33">
        <f t="shared" si="15"/>
        <v>14.25</v>
      </c>
    </row>
    <row r="149" spans="3:9" ht="17.25">
      <c r="C149" s="32" t="s">
        <v>74</v>
      </c>
      <c r="D149" s="20">
        <v>19</v>
      </c>
      <c r="E149" s="20">
        <v>12</v>
      </c>
      <c r="F149" s="20">
        <v>18</v>
      </c>
      <c r="G149" s="20">
        <v>9</v>
      </c>
      <c r="H149" s="33">
        <f t="shared" si="14"/>
        <v>58</v>
      </c>
      <c r="I149" s="33">
        <f>AVERAGE(D149:G149)</f>
        <v>14.5</v>
      </c>
    </row>
    <row r="150" spans="3:9" ht="17.25">
      <c r="C150" s="37" t="s">
        <v>63</v>
      </c>
      <c r="D150" s="33">
        <f>SUM(D145:D149)</f>
        <v>94</v>
      </c>
      <c r="E150" s="33">
        <f t="shared" ref="E150:G150" si="16">SUM(E145:E149)</f>
        <v>50</v>
      </c>
      <c r="F150" s="33">
        <f t="shared" si="16"/>
        <v>75</v>
      </c>
      <c r="G150" s="33">
        <f t="shared" si="16"/>
        <v>35</v>
      </c>
    </row>
    <row r="151" spans="3:9" ht="17.25">
      <c r="C151" s="37" t="s">
        <v>61</v>
      </c>
      <c r="D151" s="33">
        <f>AVERAGE(D145:D149)</f>
        <v>18.8</v>
      </c>
      <c r="E151" s="33">
        <f t="shared" ref="E151:G151" si="17">AVERAGE(E145:E149)</f>
        <v>10</v>
      </c>
      <c r="F151" s="33">
        <f t="shared" si="17"/>
        <v>15</v>
      </c>
      <c r="G151" s="33">
        <f t="shared" si="17"/>
        <v>7</v>
      </c>
    </row>
    <row r="152" spans="3:9" ht="17.25">
      <c r="C152" s="37" t="s">
        <v>75</v>
      </c>
      <c r="D152" s="33"/>
      <c r="E152" s="33"/>
      <c r="F152" s="33"/>
      <c r="G152" s="33"/>
    </row>
    <row r="153" spans="3:9" ht="17.25">
      <c r="C153" s="32"/>
      <c r="D153" s="33"/>
      <c r="E153" s="33"/>
      <c r="F153" s="33"/>
      <c r="G153" s="33"/>
    </row>
    <row r="154" spans="3:9" ht="17.25">
      <c r="C154" s="32"/>
      <c r="D154" s="33"/>
      <c r="E154" s="33"/>
      <c r="F154" s="33"/>
      <c r="G154" s="33"/>
    </row>
    <row r="158" spans="3:9">
      <c r="C158" s="18" t="s">
        <v>76</v>
      </c>
      <c r="D158" s="6"/>
      <c r="E158" s="6"/>
      <c r="F158" s="6"/>
      <c r="G158" s="7"/>
    </row>
    <row r="159" spans="3:9" ht="16.5">
      <c r="C159" s="32">
        <v>5000</v>
      </c>
      <c r="D159" s="20"/>
      <c r="E159" s="9"/>
      <c r="F159" s="32"/>
      <c r="G159" s="27"/>
    </row>
    <row r="160" spans="3:9" ht="16.5">
      <c r="C160" s="32">
        <v>7200</v>
      </c>
      <c r="D160" s="20"/>
      <c r="E160" s="9"/>
      <c r="F160" s="32"/>
      <c r="G160" s="9"/>
    </row>
    <row r="161" spans="3:7" ht="16.5">
      <c r="C161" s="32">
        <v>6500</v>
      </c>
      <c r="D161" s="32"/>
      <c r="E161" s="9"/>
      <c r="F161" s="32"/>
      <c r="G161" s="9"/>
    </row>
    <row r="162" spans="3:7" ht="16.5">
      <c r="C162" s="32">
        <v>6800</v>
      </c>
      <c r="D162" s="32"/>
      <c r="E162" s="9"/>
      <c r="F162" s="32"/>
      <c r="G162" s="9"/>
    </row>
    <row r="163" spans="3:7" ht="16.5">
      <c r="C163" s="32">
        <v>25000</v>
      </c>
      <c r="D163" s="32"/>
      <c r="E163" s="9"/>
      <c r="F163" s="32"/>
      <c r="G163" s="9"/>
    </row>
    <row r="164" spans="3:7" ht="16.5">
      <c r="C164" s="32"/>
      <c r="D164" s="20"/>
      <c r="E164" s="9"/>
      <c r="F164" s="32"/>
      <c r="G164" s="9"/>
    </row>
    <row r="165" spans="3:7" ht="17.25">
      <c r="C165" s="33">
        <f>C163-C159</f>
        <v>20000</v>
      </c>
      <c r="D165" s="28" t="s">
        <v>77</v>
      </c>
      <c r="E165" s="30"/>
      <c r="F165" s="33"/>
      <c r="G165" s="29"/>
    </row>
    <row r="166" spans="3:7" ht="17.25">
      <c r="C166" s="33">
        <f>AVERAGE(C159:C163)</f>
        <v>10100</v>
      </c>
      <c r="D166" s="28" t="s">
        <v>61</v>
      </c>
      <c r="E166" s="30"/>
      <c r="F166" s="33"/>
      <c r="G166" s="29"/>
    </row>
    <row r="167" spans="3:7" ht="17.25">
      <c r="C167" s="33">
        <f>MEDIAN(C159:C163)</f>
        <v>6800</v>
      </c>
      <c r="D167" s="28" t="s">
        <v>62</v>
      </c>
      <c r="E167" s="30"/>
      <c r="F167" s="33"/>
      <c r="G167" s="29"/>
    </row>
    <row r="168" spans="3:7" ht="17.25">
      <c r="C168" s="32"/>
      <c r="D168" s="28"/>
      <c r="E168" s="30"/>
      <c r="F168" s="33"/>
      <c r="G168" s="29"/>
    </row>
    <row r="170" spans="3:7">
      <c r="C170" s="3" t="s">
        <v>79</v>
      </c>
    </row>
    <row r="171" spans="3:7">
      <c r="C171" s="18" t="s">
        <v>78</v>
      </c>
      <c r="D171" s="6" t="s">
        <v>104</v>
      </c>
      <c r="E171" s="6"/>
      <c r="F171" s="6"/>
      <c r="G171" s="7"/>
    </row>
    <row r="172" spans="3:7" ht="16.5">
      <c r="C172" s="32">
        <v>48</v>
      </c>
      <c r="D172" s="35">
        <f>C$179-C172</f>
        <v>3.1428571428571459</v>
      </c>
      <c r="E172" s="9"/>
      <c r="F172" s="32"/>
      <c r="G172" s="27"/>
    </row>
    <row r="173" spans="3:7" ht="16.5">
      <c r="C173" s="20">
        <v>49</v>
      </c>
      <c r="D173" s="35">
        <f t="shared" ref="D173:D175" si="18">C$179-C173</f>
        <v>2.1428571428571459</v>
      </c>
      <c r="E173" s="9"/>
      <c r="F173" s="32"/>
      <c r="G173" s="9"/>
    </row>
    <row r="174" spans="3:7" ht="16.5">
      <c r="C174" s="20">
        <v>50</v>
      </c>
      <c r="D174" s="35">
        <f t="shared" si="18"/>
        <v>1.1428571428571459</v>
      </c>
      <c r="E174" s="9"/>
      <c r="F174" s="32"/>
      <c r="G174" s="9"/>
    </row>
    <row r="175" spans="3:7" ht="16.5">
      <c r="C175" s="32">
        <v>51</v>
      </c>
      <c r="D175" s="35">
        <f t="shared" si="18"/>
        <v>0.1428571428571459</v>
      </c>
      <c r="E175" s="9"/>
      <c r="F175" s="32"/>
      <c r="G175" s="9"/>
    </row>
    <row r="176" spans="3:7" ht="16.5">
      <c r="C176" s="32">
        <v>52</v>
      </c>
      <c r="D176" s="35">
        <f>C176-C$179</f>
        <v>0.8571428571428541</v>
      </c>
      <c r="E176" s="9"/>
      <c r="F176" s="32"/>
      <c r="G176" s="9"/>
    </row>
    <row r="177" spans="3:7" ht="16.5">
      <c r="C177" s="20">
        <v>53</v>
      </c>
      <c r="D177" s="35">
        <f t="shared" ref="D177:D178" si="19">C177-C$179</f>
        <v>1.8571428571428541</v>
      </c>
      <c r="E177" s="9"/>
      <c r="F177" s="32"/>
      <c r="G177" s="9"/>
    </row>
    <row r="178" spans="3:7" ht="17.25">
      <c r="C178" s="20">
        <v>55</v>
      </c>
      <c r="D178" s="35">
        <f t="shared" si="19"/>
        <v>3.8571428571428541</v>
      </c>
      <c r="E178" s="30"/>
      <c r="F178" s="33"/>
      <c r="G178" s="29"/>
    </row>
    <row r="179" spans="3:7" ht="17.25">
      <c r="C179" s="39">
        <f>AVERAGE(C172:C178)</f>
        <v>51.142857142857146</v>
      </c>
      <c r="D179" s="29">
        <f>SUM(D172:D178)</f>
        <v>13.142857142857146</v>
      </c>
      <c r="E179" s="30" t="s">
        <v>105</v>
      </c>
      <c r="F179" s="33"/>
      <c r="G179" s="29"/>
    </row>
    <row r="180" spans="3:7" ht="17.25">
      <c r="C180" s="38"/>
      <c r="D180" s="29">
        <f>AVERAGE(D172:D178)</f>
        <v>1.8775510204081638</v>
      </c>
      <c r="E180" s="30" t="s">
        <v>83</v>
      </c>
      <c r="F180" s="33"/>
      <c r="G180" s="29"/>
    </row>
    <row r="181" spans="3:7" ht="17.25">
      <c r="C181" s="32"/>
      <c r="D181" s="28"/>
      <c r="E181" s="30"/>
      <c r="F181" s="33"/>
      <c r="G181" s="29"/>
    </row>
    <row r="183" spans="3:7">
      <c r="C183" s="3" t="s">
        <v>79</v>
      </c>
    </row>
    <row r="184" spans="3:7">
      <c r="C184" s="18" t="s">
        <v>80</v>
      </c>
      <c r="D184" s="6" t="s">
        <v>81</v>
      </c>
      <c r="E184" s="6"/>
      <c r="F184" s="6"/>
      <c r="G184" s="7"/>
    </row>
    <row r="185" spans="3:7" ht="16.5">
      <c r="C185" s="32">
        <v>30</v>
      </c>
      <c r="D185" s="35">
        <f>C$179-C185</f>
        <v>21.142857142857146</v>
      </c>
      <c r="E185" s="9"/>
      <c r="F185" s="32"/>
      <c r="G185" s="27"/>
    </row>
    <row r="186" spans="3:7" ht="16.5">
      <c r="C186" s="20">
        <v>35</v>
      </c>
      <c r="D186" s="35">
        <f t="shared" ref="D186:D188" si="20">C$179-C186</f>
        <v>16.142857142857146</v>
      </c>
      <c r="E186" s="9"/>
      <c r="F186" s="32"/>
      <c r="G186" s="9"/>
    </row>
    <row r="187" spans="3:7" ht="16.5">
      <c r="C187" s="20">
        <v>40</v>
      </c>
      <c r="D187" s="35">
        <f t="shared" si="20"/>
        <v>11.142857142857146</v>
      </c>
      <c r="E187" s="9"/>
      <c r="F187" s="32"/>
      <c r="G187" s="9"/>
    </row>
    <row r="188" spans="3:7" ht="16.5">
      <c r="C188" s="32">
        <v>45</v>
      </c>
      <c r="D188" s="35">
        <f t="shared" si="20"/>
        <v>6.1428571428571459</v>
      </c>
      <c r="E188" s="9"/>
      <c r="F188" s="32"/>
      <c r="G188" s="9"/>
    </row>
    <row r="189" spans="3:7" ht="16.5">
      <c r="C189" s="32">
        <v>60</v>
      </c>
      <c r="D189" s="35">
        <f>C189-C$179</f>
        <v>8.8571428571428541</v>
      </c>
      <c r="E189" s="9"/>
      <c r="F189" s="32"/>
      <c r="G189" s="9"/>
    </row>
    <row r="190" spans="3:7" ht="16.5">
      <c r="C190" s="20">
        <v>65</v>
      </c>
      <c r="D190" s="35">
        <f t="shared" ref="D190:D191" si="21">C190-C$179</f>
        <v>13.857142857142854</v>
      </c>
      <c r="E190" s="9"/>
      <c r="F190" s="32"/>
      <c r="G190" s="9"/>
    </row>
    <row r="191" spans="3:7" ht="17.25">
      <c r="C191" s="20">
        <v>70</v>
      </c>
      <c r="D191" s="35">
        <f t="shared" si="21"/>
        <v>18.857142857142854</v>
      </c>
      <c r="E191" s="30"/>
      <c r="F191" s="33"/>
      <c r="G191" s="29"/>
    </row>
    <row r="192" spans="3:7" ht="17.25">
      <c r="C192" s="39">
        <f>AVERAGE(C185:C191)</f>
        <v>49.285714285714285</v>
      </c>
      <c r="D192" s="29">
        <f>SUM(D185:D191)</f>
        <v>96.142857142857139</v>
      </c>
      <c r="E192" s="30" t="s">
        <v>82</v>
      </c>
      <c r="F192" s="33"/>
      <c r="G192" s="29"/>
    </row>
    <row r="193" spans="3:7" ht="17.25">
      <c r="C193" s="38"/>
      <c r="D193" s="29">
        <f>AVERAGE(D185:D191)</f>
        <v>13.73469387755102</v>
      </c>
      <c r="E193" s="30" t="s">
        <v>83</v>
      </c>
      <c r="F193" s="33"/>
      <c r="G193" s="29"/>
    </row>
    <row r="194" spans="3:7" ht="17.25">
      <c r="C194" s="32"/>
      <c r="D194" s="28"/>
      <c r="E194" s="30"/>
      <c r="F194" s="33"/>
      <c r="G194" s="29"/>
    </row>
    <row r="197" spans="3:7">
      <c r="C197" s="3" t="s">
        <v>84</v>
      </c>
    </row>
    <row r="198" spans="3:7">
      <c r="C198" s="18" t="s">
        <v>85</v>
      </c>
      <c r="D198" s="6" t="s">
        <v>81</v>
      </c>
      <c r="E198" s="6"/>
      <c r="F198" s="6"/>
      <c r="G198" s="7"/>
    </row>
    <row r="199" spans="3:7" ht="16.5">
      <c r="C199" s="20">
        <v>70</v>
      </c>
      <c r="D199" s="35"/>
      <c r="E199" s="9"/>
      <c r="F199" s="32"/>
      <c r="G199" s="27"/>
    </row>
    <row r="200" spans="3:7" ht="16.5">
      <c r="C200" s="20">
        <v>80</v>
      </c>
      <c r="D200" s="35"/>
      <c r="E200" s="9"/>
      <c r="F200" s="32"/>
      <c r="G200" s="9"/>
    </row>
    <row r="201" spans="3:7" ht="16.5">
      <c r="C201" s="32">
        <v>90</v>
      </c>
      <c r="D201" s="35"/>
      <c r="E201" s="9"/>
      <c r="F201" s="32"/>
      <c r="G201" s="9"/>
    </row>
    <row r="202" spans="3:7" ht="16.5">
      <c r="C202" s="32">
        <v>100</v>
      </c>
      <c r="D202" s="35"/>
      <c r="E202" s="9"/>
      <c r="F202" s="32"/>
      <c r="G202" s="9"/>
    </row>
    <row r="203" spans="3:7" ht="16.5">
      <c r="C203" s="20">
        <v>120</v>
      </c>
      <c r="D203" s="35"/>
      <c r="E203" s="9"/>
      <c r="F203" s="32"/>
      <c r="G203" s="9"/>
    </row>
    <row r="204" spans="3:7" ht="16.5">
      <c r="C204" s="32">
        <v>130</v>
      </c>
      <c r="D204" s="35"/>
      <c r="E204" s="9"/>
      <c r="F204" s="32"/>
      <c r="G204" s="9"/>
    </row>
    <row r="205" spans="3:7" ht="17.25">
      <c r="C205" s="20">
        <f>AVERAGE(C199:C204)</f>
        <v>98.333333333333329</v>
      </c>
      <c r="D205" s="30" t="s">
        <v>61</v>
      </c>
      <c r="E205" s="30"/>
      <c r="F205" s="33"/>
      <c r="G205" s="29"/>
    </row>
    <row r="206" spans="3:7" ht="17.25">
      <c r="C206" s="39"/>
      <c r="D206" s="29"/>
      <c r="E206" s="30"/>
      <c r="F206" s="33"/>
      <c r="G206" s="29"/>
    </row>
    <row r="207" spans="3:7" ht="17.25">
      <c r="C207" s="38"/>
      <c r="D207" s="29"/>
      <c r="E207" s="30"/>
      <c r="F207" s="33"/>
      <c r="G207" s="29"/>
    </row>
    <row r="208" spans="3:7" ht="17.25">
      <c r="C208" s="32"/>
      <c r="D208" s="28"/>
      <c r="E208" s="30"/>
      <c r="F208" s="33"/>
      <c r="G208" s="29"/>
    </row>
    <row r="213" spans="2:9">
      <c r="C213" s="3" t="s">
        <v>86</v>
      </c>
    </row>
    <row r="214" spans="2:9" ht="17.25">
      <c r="B214" s="30"/>
      <c r="C214" s="30" t="s">
        <v>95</v>
      </c>
      <c r="D214" s="30" t="s">
        <v>94</v>
      </c>
      <c r="E214" s="30"/>
      <c r="F214" s="41" t="s">
        <v>96</v>
      </c>
      <c r="G214" s="30" t="s">
        <v>97</v>
      </c>
      <c r="H214" s="30" t="s">
        <v>82</v>
      </c>
      <c r="I214" s="30" t="s">
        <v>98</v>
      </c>
    </row>
    <row r="215" spans="2:9" ht="17.25">
      <c r="B215" s="30"/>
      <c r="C215" s="20">
        <v>21</v>
      </c>
      <c r="D215" s="20">
        <v>9</v>
      </c>
      <c r="E215" s="40" t="s">
        <v>87</v>
      </c>
      <c r="F215" s="20">
        <v>4</v>
      </c>
      <c r="G215" s="35">
        <f>F215-C$221</f>
        <v>-3.7800000000000002</v>
      </c>
      <c r="H215" s="35">
        <f>C$221-F215</f>
        <v>3.7800000000000002</v>
      </c>
      <c r="I215" s="9">
        <f>H215^2</f>
        <v>14.288400000000001</v>
      </c>
    </row>
    <row r="216" spans="2:9" ht="17.25">
      <c r="B216" s="30"/>
      <c r="C216" s="20">
        <v>9</v>
      </c>
      <c r="D216" s="20">
        <v>8</v>
      </c>
      <c r="E216" s="40" t="s">
        <v>88</v>
      </c>
      <c r="F216" s="20">
        <v>5</v>
      </c>
      <c r="G216" s="35">
        <f t="shared" ref="G216:G264" si="22">F216-C$221</f>
        <v>-2.7800000000000002</v>
      </c>
      <c r="H216" s="35">
        <f t="shared" ref="H216:H234" si="23">C$221-F216</f>
        <v>2.7800000000000002</v>
      </c>
      <c r="I216" s="9">
        <f>H216^2</f>
        <v>7.7284000000000015</v>
      </c>
    </row>
    <row r="217" spans="2:9" ht="17.25">
      <c r="B217" s="30"/>
      <c r="C217" s="20">
        <v>12</v>
      </c>
      <c r="D217" s="20">
        <v>7</v>
      </c>
      <c r="E217" s="40" t="s">
        <v>89</v>
      </c>
      <c r="F217" s="20">
        <v>5</v>
      </c>
      <c r="G217" s="35">
        <f t="shared" si="22"/>
        <v>-2.7800000000000002</v>
      </c>
      <c r="H217" s="35">
        <f t="shared" si="23"/>
        <v>2.7800000000000002</v>
      </c>
      <c r="I217" s="9">
        <f t="shared" ref="I216:I264" si="24">H217^2</f>
        <v>7.7284000000000015</v>
      </c>
    </row>
    <row r="218" spans="2:9" ht="17.25">
      <c r="B218" s="30"/>
      <c r="C218" s="20">
        <v>5</v>
      </c>
      <c r="D218" s="20">
        <v>6</v>
      </c>
      <c r="E218" s="40" t="s">
        <v>90</v>
      </c>
      <c r="F218" s="20">
        <v>6</v>
      </c>
      <c r="G218" s="35">
        <f t="shared" si="22"/>
        <v>-1.7800000000000002</v>
      </c>
      <c r="H218" s="35">
        <f t="shared" si="23"/>
        <v>1.7800000000000002</v>
      </c>
      <c r="I218" s="9">
        <f t="shared" si="24"/>
        <v>3.168400000000001</v>
      </c>
    </row>
    <row r="219" spans="2:9" ht="17.25">
      <c r="B219" s="30"/>
      <c r="C219" s="20">
        <v>2</v>
      </c>
      <c r="D219" s="20">
        <v>5</v>
      </c>
      <c r="E219" s="40" t="s">
        <v>91</v>
      </c>
      <c r="F219" s="20">
        <v>6</v>
      </c>
      <c r="G219" s="35">
        <f t="shared" si="22"/>
        <v>-1.7800000000000002</v>
      </c>
      <c r="H219" s="35">
        <f t="shared" si="23"/>
        <v>1.7800000000000002</v>
      </c>
      <c r="I219" s="9">
        <f t="shared" si="24"/>
        <v>3.168400000000001</v>
      </c>
    </row>
    <row r="220" spans="2:9" ht="17.25">
      <c r="B220" s="30"/>
      <c r="C220" s="20">
        <v>1</v>
      </c>
      <c r="D220" s="20">
        <v>4</v>
      </c>
      <c r="E220" s="40" t="s">
        <v>92</v>
      </c>
      <c r="F220" s="20">
        <v>6</v>
      </c>
      <c r="G220" s="35">
        <f t="shared" si="22"/>
        <v>-1.7800000000000002</v>
      </c>
      <c r="H220" s="35">
        <f t="shared" si="23"/>
        <v>1.7800000000000002</v>
      </c>
      <c r="I220" s="9">
        <f t="shared" si="24"/>
        <v>3.168400000000001</v>
      </c>
    </row>
    <row r="221" spans="2:9" ht="17.25">
      <c r="B221" s="30" t="s">
        <v>61</v>
      </c>
      <c r="C221" s="29">
        <f>AVERAGE(F215:F264)</f>
        <v>7.78</v>
      </c>
      <c r="D221" s="30"/>
      <c r="E221" s="30"/>
      <c r="F221" s="20">
        <v>6</v>
      </c>
      <c r="G221" s="35">
        <f t="shared" si="22"/>
        <v>-1.7800000000000002</v>
      </c>
      <c r="H221" s="35">
        <f t="shared" si="23"/>
        <v>1.7800000000000002</v>
      </c>
      <c r="I221" s="9">
        <f t="shared" si="24"/>
        <v>3.168400000000001</v>
      </c>
    </row>
    <row r="222" spans="2:9" ht="17.25">
      <c r="B222" s="30" t="s">
        <v>62</v>
      </c>
      <c r="C222" s="28">
        <f>MEDIAN(F215:F264)</f>
        <v>8</v>
      </c>
      <c r="D222" s="29"/>
      <c r="E222" s="30"/>
      <c r="F222" s="20">
        <v>6</v>
      </c>
      <c r="G222" s="35">
        <f t="shared" si="22"/>
        <v>-1.7800000000000002</v>
      </c>
      <c r="H222" s="35">
        <f t="shared" si="23"/>
        <v>1.7800000000000002</v>
      </c>
      <c r="I222" s="9">
        <f t="shared" si="24"/>
        <v>3.168400000000001</v>
      </c>
    </row>
    <row r="223" spans="2:9" ht="17.25">
      <c r="B223" s="30" t="s">
        <v>93</v>
      </c>
      <c r="C223" s="28">
        <f>MODE(F215:F264)</f>
        <v>9</v>
      </c>
      <c r="D223" s="29"/>
      <c r="E223" s="30"/>
      <c r="F223" s="20">
        <v>7</v>
      </c>
      <c r="G223" s="35">
        <f t="shared" si="22"/>
        <v>-0.78000000000000025</v>
      </c>
      <c r="H223" s="35">
        <f t="shared" si="23"/>
        <v>0.78000000000000025</v>
      </c>
      <c r="I223" s="9">
        <f t="shared" si="24"/>
        <v>0.60840000000000038</v>
      </c>
    </row>
    <row r="224" spans="2:9" ht="17.25">
      <c r="B224" s="43" t="s">
        <v>99</v>
      </c>
      <c r="C224" s="28">
        <f>9-4</f>
        <v>5</v>
      </c>
      <c r="D224" s="28"/>
      <c r="E224" s="30"/>
      <c r="F224" s="20">
        <v>7</v>
      </c>
      <c r="G224" s="35">
        <f t="shared" si="22"/>
        <v>-0.78000000000000025</v>
      </c>
      <c r="H224" s="35">
        <f t="shared" si="23"/>
        <v>0.78000000000000025</v>
      </c>
      <c r="I224" s="9">
        <f t="shared" si="24"/>
        <v>0.60840000000000038</v>
      </c>
    </row>
    <row r="225" spans="6:9" ht="16.5">
      <c r="F225" s="20">
        <v>7</v>
      </c>
      <c r="G225" s="35">
        <f t="shared" si="22"/>
        <v>-0.78000000000000025</v>
      </c>
      <c r="H225" s="35">
        <f t="shared" si="23"/>
        <v>0.78000000000000025</v>
      </c>
      <c r="I225" s="9">
        <f t="shared" si="24"/>
        <v>0.60840000000000038</v>
      </c>
    </row>
    <row r="226" spans="6:9" ht="16.5">
      <c r="F226" s="20">
        <v>7</v>
      </c>
      <c r="G226" s="35">
        <f t="shared" si="22"/>
        <v>-0.78000000000000025</v>
      </c>
      <c r="H226" s="35">
        <f t="shared" si="23"/>
        <v>0.78000000000000025</v>
      </c>
      <c r="I226" s="9">
        <f t="shared" si="24"/>
        <v>0.60840000000000038</v>
      </c>
    </row>
    <row r="227" spans="6:9" ht="16.5">
      <c r="F227" s="20">
        <v>7</v>
      </c>
      <c r="G227" s="35">
        <f t="shared" si="22"/>
        <v>-0.78000000000000025</v>
      </c>
      <c r="H227" s="35">
        <f t="shared" si="23"/>
        <v>0.78000000000000025</v>
      </c>
      <c r="I227" s="9">
        <f t="shared" si="24"/>
        <v>0.60840000000000038</v>
      </c>
    </row>
    <row r="228" spans="6:9" ht="16.5">
      <c r="F228" s="20">
        <v>7</v>
      </c>
      <c r="G228" s="35">
        <f t="shared" si="22"/>
        <v>-0.78000000000000025</v>
      </c>
      <c r="H228" s="35">
        <f t="shared" si="23"/>
        <v>0.78000000000000025</v>
      </c>
      <c r="I228" s="9">
        <f t="shared" si="24"/>
        <v>0.60840000000000038</v>
      </c>
    </row>
    <row r="229" spans="6:9" ht="16.5">
      <c r="F229" s="20">
        <v>7</v>
      </c>
      <c r="G229" s="35">
        <f t="shared" si="22"/>
        <v>-0.78000000000000025</v>
      </c>
      <c r="H229" s="35">
        <f t="shared" si="23"/>
        <v>0.78000000000000025</v>
      </c>
      <c r="I229" s="9">
        <f t="shared" si="24"/>
        <v>0.60840000000000038</v>
      </c>
    </row>
    <row r="230" spans="6:9" ht="16.5">
      <c r="F230" s="20">
        <v>7</v>
      </c>
      <c r="G230" s="35">
        <f t="shared" si="22"/>
        <v>-0.78000000000000025</v>
      </c>
      <c r="H230" s="35">
        <f t="shared" si="23"/>
        <v>0.78000000000000025</v>
      </c>
      <c r="I230" s="9">
        <f t="shared" si="24"/>
        <v>0.60840000000000038</v>
      </c>
    </row>
    <row r="231" spans="6:9" ht="16.5">
      <c r="F231" s="20">
        <v>7</v>
      </c>
      <c r="G231" s="35">
        <f t="shared" si="22"/>
        <v>-0.78000000000000025</v>
      </c>
      <c r="H231" s="35">
        <f t="shared" si="23"/>
        <v>0.78000000000000025</v>
      </c>
      <c r="I231" s="9">
        <f t="shared" si="24"/>
        <v>0.60840000000000038</v>
      </c>
    </row>
    <row r="232" spans="6:9" ht="16.5">
      <c r="F232" s="20">
        <v>7</v>
      </c>
      <c r="G232" s="35">
        <f t="shared" si="22"/>
        <v>-0.78000000000000025</v>
      </c>
      <c r="H232" s="35">
        <f t="shared" si="23"/>
        <v>0.78000000000000025</v>
      </c>
      <c r="I232" s="9">
        <f t="shared" si="24"/>
        <v>0.60840000000000038</v>
      </c>
    </row>
    <row r="233" spans="6:9" ht="16.5">
      <c r="F233" s="20">
        <v>7</v>
      </c>
      <c r="G233" s="35">
        <f t="shared" si="22"/>
        <v>-0.78000000000000025</v>
      </c>
      <c r="H233" s="35">
        <f t="shared" si="23"/>
        <v>0.78000000000000025</v>
      </c>
      <c r="I233" s="9">
        <f t="shared" si="24"/>
        <v>0.60840000000000038</v>
      </c>
    </row>
    <row r="234" spans="6:9" ht="16.5">
      <c r="F234" s="20">
        <v>7</v>
      </c>
      <c r="G234" s="35">
        <f t="shared" si="22"/>
        <v>-0.78000000000000025</v>
      </c>
      <c r="H234" s="35">
        <f t="shared" si="23"/>
        <v>0.78000000000000025</v>
      </c>
      <c r="I234" s="9">
        <f t="shared" si="24"/>
        <v>0.60840000000000038</v>
      </c>
    </row>
    <row r="235" spans="6:9" ht="16.5">
      <c r="F235" s="20">
        <v>8</v>
      </c>
      <c r="G235" s="35">
        <f t="shared" si="22"/>
        <v>0.21999999999999975</v>
      </c>
      <c r="H235" s="35">
        <f>F235-C$221</f>
        <v>0.21999999999999975</v>
      </c>
      <c r="I235" s="9">
        <f t="shared" si="24"/>
        <v>4.8399999999999888E-2</v>
      </c>
    </row>
    <row r="236" spans="6:9" ht="16.5">
      <c r="F236" s="20">
        <v>8</v>
      </c>
      <c r="G236" s="35">
        <f t="shared" si="22"/>
        <v>0.21999999999999975</v>
      </c>
      <c r="H236" s="35">
        <f t="shared" ref="H236:H264" si="25">F236-C$221</f>
        <v>0.21999999999999975</v>
      </c>
      <c r="I236" s="9">
        <f t="shared" si="24"/>
        <v>4.8399999999999888E-2</v>
      </c>
    </row>
    <row r="237" spans="6:9" ht="16.5">
      <c r="F237" s="20">
        <v>8</v>
      </c>
      <c r="G237" s="35">
        <f t="shared" si="22"/>
        <v>0.21999999999999975</v>
      </c>
      <c r="H237" s="35">
        <f t="shared" si="25"/>
        <v>0.21999999999999975</v>
      </c>
      <c r="I237" s="9">
        <f t="shared" si="24"/>
        <v>4.8399999999999888E-2</v>
      </c>
    </row>
    <row r="238" spans="6:9" ht="16.5">
      <c r="F238" s="20">
        <v>8</v>
      </c>
      <c r="G238" s="35">
        <f t="shared" si="22"/>
        <v>0.21999999999999975</v>
      </c>
      <c r="H238" s="35">
        <f t="shared" si="25"/>
        <v>0.21999999999999975</v>
      </c>
      <c r="I238" s="9">
        <f t="shared" si="24"/>
        <v>4.8399999999999888E-2</v>
      </c>
    </row>
    <row r="239" spans="6:9" ht="16.5">
      <c r="F239" s="20">
        <v>8</v>
      </c>
      <c r="G239" s="35">
        <f t="shared" si="22"/>
        <v>0.21999999999999975</v>
      </c>
      <c r="H239" s="35">
        <f t="shared" si="25"/>
        <v>0.21999999999999975</v>
      </c>
      <c r="I239" s="9">
        <f t="shared" si="24"/>
        <v>4.8399999999999888E-2</v>
      </c>
    </row>
    <row r="240" spans="6:9" ht="16.5">
      <c r="F240" s="20">
        <v>8</v>
      </c>
      <c r="G240" s="35">
        <f t="shared" si="22"/>
        <v>0.21999999999999975</v>
      </c>
      <c r="H240" s="35">
        <f t="shared" si="25"/>
        <v>0.21999999999999975</v>
      </c>
      <c r="I240" s="9">
        <f t="shared" si="24"/>
        <v>4.8399999999999888E-2</v>
      </c>
    </row>
    <row r="241" spans="6:9" ht="16.5">
      <c r="F241" s="20">
        <v>8</v>
      </c>
      <c r="G241" s="35">
        <f t="shared" si="22"/>
        <v>0.21999999999999975</v>
      </c>
      <c r="H241" s="35">
        <f t="shared" si="25"/>
        <v>0.21999999999999975</v>
      </c>
      <c r="I241" s="9">
        <f t="shared" si="24"/>
        <v>4.8399999999999888E-2</v>
      </c>
    </row>
    <row r="242" spans="6:9" ht="16.5">
      <c r="F242" s="20">
        <v>8</v>
      </c>
      <c r="G242" s="35">
        <f t="shared" si="22"/>
        <v>0.21999999999999975</v>
      </c>
      <c r="H242" s="35">
        <f t="shared" si="25"/>
        <v>0.21999999999999975</v>
      </c>
      <c r="I242" s="9">
        <f t="shared" si="24"/>
        <v>4.8399999999999888E-2</v>
      </c>
    </row>
    <row r="243" spans="6:9" ht="16.5">
      <c r="F243" s="20">
        <v>8</v>
      </c>
      <c r="G243" s="35">
        <f t="shared" si="22"/>
        <v>0.21999999999999975</v>
      </c>
      <c r="H243" s="35">
        <f t="shared" si="25"/>
        <v>0.21999999999999975</v>
      </c>
      <c r="I243" s="9">
        <f t="shared" si="24"/>
        <v>4.8399999999999888E-2</v>
      </c>
    </row>
    <row r="244" spans="6:9" ht="16.5">
      <c r="F244" s="20">
        <v>9</v>
      </c>
      <c r="G244" s="35">
        <f t="shared" si="22"/>
        <v>1.2199999999999998</v>
      </c>
      <c r="H244" s="35">
        <f t="shared" si="25"/>
        <v>1.2199999999999998</v>
      </c>
      <c r="I244" s="9">
        <f t="shared" si="24"/>
        <v>1.4883999999999995</v>
      </c>
    </row>
    <row r="245" spans="6:9" ht="16.5">
      <c r="F245" s="20">
        <v>9</v>
      </c>
      <c r="G245" s="35">
        <f t="shared" si="22"/>
        <v>1.2199999999999998</v>
      </c>
      <c r="H245" s="35">
        <f t="shared" si="25"/>
        <v>1.2199999999999998</v>
      </c>
      <c r="I245" s="9">
        <f t="shared" si="24"/>
        <v>1.4883999999999995</v>
      </c>
    </row>
    <row r="246" spans="6:9" ht="16.5">
      <c r="F246" s="20">
        <v>9</v>
      </c>
      <c r="G246" s="35">
        <f t="shared" si="22"/>
        <v>1.2199999999999998</v>
      </c>
      <c r="H246" s="35">
        <f t="shared" si="25"/>
        <v>1.2199999999999998</v>
      </c>
      <c r="I246" s="9">
        <f t="shared" si="24"/>
        <v>1.4883999999999995</v>
      </c>
    </row>
    <row r="247" spans="6:9" ht="16.5">
      <c r="F247" s="20">
        <v>9</v>
      </c>
      <c r="G247" s="35">
        <f t="shared" si="22"/>
        <v>1.2199999999999998</v>
      </c>
      <c r="H247" s="35">
        <f t="shared" si="25"/>
        <v>1.2199999999999998</v>
      </c>
      <c r="I247" s="9">
        <f t="shared" si="24"/>
        <v>1.4883999999999995</v>
      </c>
    </row>
    <row r="248" spans="6:9" ht="16.5">
      <c r="F248" s="20">
        <v>9</v>
      </c>
      <c r="G248" s="35">
        <f t="shared" si="22"/>
        <v>1.2199999999999998</v>
      </c>
      <c r="H248" s="35">
        <f t="shared" si="25"/>
        <v>1.2199999999999998</v>
      </c>
      <c r="I248" s="9">
        <f t="shared" si="24"/>
        <v>1.4883999999999995</v>
      </c>
    </row>
    <row r="249" spans="6:9" ht="16.5">
      <c r="F249" s="20">
        <v>9</v>
      </c>
      <c r="G249" s="35">
        <f t="shared" si="22"/>
        <v>1.2199999999999998</v>
      </c>
      <c r="H249" s="35">
        <f t="shared" si="25"/>
        <v>1.2199999999999998</v>
      </c>
      <c r="I249" s="9">
        <f t="shared" si="24"/>
        <v>1.4883999999999995</v>
      </c>
    </row>
    <row r="250" spans="6:9" ht="16.5">
      <c r="F250" s="20">
        <v>9</v>
      </c>
      <c r="G250" s="35">
        <f t="shared" si="22"/>
        <v>1.2199999999999998</v>
      </c>
      <c r="H250" s="35">
        <f t="shared" si="25"/>
        <v>1.2199999999999998</v>
      </c>
      <c r="I250" s="9">
        <f t="shared" si="24"/>
        <v>1.4883999999999995</v>
      </c>
    </row>
    <row r="251" spans="6:9" ht="16.5">
      <c r="F251" s="20">
        <v>9</v>
      </c>
      <c r="G251" s="35">
        <f t="shared" si="22"/>
        <v>1.2199999999999998</v>
      </c>
      <c r="H251" s="35">
        <f t="shared" si="25"/>
        <v>1.2199999999999998</v>
      </c>
      <c r="I251" s="9">
        <f t="shared" si="24"/>
        <v>1.4883999999999995</v>
      </c>
    </row>
    <row r="252" spans="6:9" ht="16.5">
      <c r="F252" s="20">
        <v>9</v>
      </c>
      <c r="G252" s="35">
        <f t="shared" si="22"/>
        <v>1.2199999999999998</v>
      </c>
      <c r="H252" s="35">
        <f t="shared" si="25"/>
        <v>1.2199999999999998</v>
      </c>
      <c r="I252" s="9">
        <f t="shared" si="24"/>
        <v>1.4883999999999995</v>
      </c>
    </row>
    <row r="253" spans="6:9" ht="16.5">
      <c r="F253" s="20">
        <v>9</v>
      </c>
      <c r="G253" s="35">
        <f t="shared" si="22"/>
        <v>1.2199999999999998</v>
      </c>
      <c r="H253" s="35">
        <f t="shared" si="25"/>
        <v>1.2199999999999998</v>
      </c>
      <c r="I253" s="9">
        <f t="shared" si="24"/>
        <v>1.4883999999999995</v>
      </c>
    </row>
    <row r="254" spans="6:9" ht="16.5">
      <c r="F254" s="20">
        <v>9</v>
      </c>
      <c r="G254" s="35">
        <f t="shared" si="22"/>
        <v>1.2199999999999998</v>
      </c>
      <c r="H254" s="35">
        <f t="shared" si="25"/>
        <v>1.2199999999999998</v>
      </c>
      <c r="I254" s="9">
        <f t="shared" si="24"/>
        <v>1.4883999999999995</v>
      </c>
    </row>
    <row r="255" spans="6:9" ht="16.5">
      <c r="F255" s="20">
        <v>9</v>
      </c>
      <c r="G255" s="35">
        <f t="shared" si="22"/>
        <v>1.2199999999999998</v>
      </c>
      <c r="H255" s="35">
        <f t="shared" si="25"/>
        <v>1.2199999999999998</v>
      </c>
      <c r="I255" s="9">
        <f t="shared" si="24"/>
        <v>1.4883999999999995</v>
      </c>
    </row>
    <row r="256" spans="6:9" ht="16.5">
      <c r="F256" s="20">
        <v>9</v>
      </c>
      <c r="G256" s="35">
        <f t="shared" si="22"/>
        <v>1.2199999999999998</v>
      </c>
      <c r="H256" s="35">
        <f t="shared" si="25"/>
        <v>1.2199999999999998</v>
      </c>
      <c r="I256" s="9">
        <f t="shared" si="24"/>
        <v>1.4883999999999995</v>
      </c>
    </row>
    <row r="257" spans="6:10" ht="16.5">
      <c r="F257" s="20">
        <v>9</v>
      </c>
      <c r="G257" s="35">
        <f t="shared" si="22"/>
        <v>1.2199999999999998</v>
      </c>
      <c r="H257" s="35">
        <f t="shared" si="25"/>
        <v>1.2199999999999998</v>
      </c>
      <c r="I257" s="9">
        <f t="shared" si="24"/>
        <v>1.4883999999999995</v>
      </c>
    </row>
    <row r="258" spans="6:10" ht="16.5">
      <c r="F258" s="20">
        <v>9</v>
      </c>
      <c r="G258" s="35">
        <f t="shared" si="22"/>
        <v>1.2199999999999998</v>
      </c>
      <c r="H258" s="35">
        <f t="shared" si="25"/>
        <v>1.2199999999999998</v>
      </c>
      <c r="I258" s="9">
        <f t="shared" si="24"/>
        <v>1.4883999999999995</v>
      </c>
    </row>
    <row r="259" spans="6:10" ht="16.5">
      <c r="F259" s="20">
        <v>9</v>
      </c>
      <c r="G259" s="35">
        <f t="shared" si="22"/>
        <v>1.2199999999999998</v>
      </c>
      <c r="H259" s="35">
        <f t="shared" si="25"/>
        <v>1.2199999999999998</v>
      </c>
      <c r="I259" s="9">
        <f t="shared" si="24"/>
        <v>1.4883999999999995</v>
      </c>
    </row>
    <row r="260" spans="6:10" ht="16.5">
      <c r="F260" s="20">
        <v>9</v>
      </c>
      <c r="G260" s="35">
        <f t="shared" si="22"/>
        <v>1.2199999999999998</v>
      </c>
      <c r="H260" s="35">
        <f t="shared" si="25"/>
        <v>1.2199999999999998</v>
      </c>
      <c r="I260" s="9">
        <f t="shared" si="24"/>
        <v>1.4883999999999995</v>
      </c>
    </row>
    <row r="261" spans="6:10" ht="16.5">
      <c r="F261" s="20">
        <v>9</v>
      </c>
      <c r="G261" s="35">
        <f t="shared" si="22"/>
        <v>1.2199999999999998</v>
      </c>
      <c r="H261" s="35">
        <f t="shared" si="25"/>
        <v>1.2199999999999998</v>
      </c>
      <c r="I261" s="9">
        <f t="shared" si="24"/>
        <v>1.4883999999999995</v>
      </c>
    </row>
    <row r="262" spans="6:10" ht="16.5">
      <c r="F262" s="20">
        <v>9</v>
      </c>
      <c r="G262" s="35">
        <f t="shared" si="22"/>
        <v>1.2199999999999998</v>
      </c>
      <c r="H262" s="35">
        <f t="shared" si="25"/>
        <v>1.2199999999999998</v>
      </c>
      <c r="I262" s="9">
        <f t="shared" si="24"/>
        <v>1.4883999999999995</v>
      </c>
    </row>
    <row r="263" spans="6:10" ht="16.5">
      <c r="F263" s="20">
        <v>9</v>
      </c>
      <c r="G263" s="35">
        <f t="shared" si="22"/>
        <v>1.2199999999999998</v>
      </c>
      <c r="H263" s="35">
        <f t="shared" si="25"/>
        <v>1.2199999999999998</v>
      </c>
      <c r="I263" s="9">
        <f t="shared" si="24"/>
        <v>1.4883999999999995</v>
      </c>
    </row>
    <row r="264" spans="6:10" ht="16.5">
      <c r="F264" s="20">
        <v>9</v>
      </c>
      <c r="G264" s="35">
        <f t="shared" si="22"/>
        <v>1.2199999999999998</v>
      </c>
      <c r="H264" s="35">
        <f t="shared" si="25"/>
        <v>1.2199999999999998</v>
      </c>
      <c r="I264" s="9">
        <f t="shared" si="24"/>
        <v>1.4883999999999995</v>
      </c>
    </row>
    <row r="265" spans="6:10" ht="17.25">
      <c r="H265" s="29">
        <f>SUM(H215:H264)</f>
        <v>55.199999999999989</v>
      </c>
      <c r="I265" s="29">
        <f>SUM(I215:I264)</f>
        <v>84.580000000000013</v>
      </c>
      <c r="J265" s="30" t="s">
        <v>101</v>
      </c>
    </row>
    <row r="266" spans="6:10" ht="17.25">
      <c r="H266" s="42" t="s">
        <v>100</v>
      </c>
      <c r="I266" s="30"/>
    </row>
    <row r="267" spans="6:10" ht="17.25">
      <c r="I267" s="29">
        <f>I265/50</f>
        <v>1.6916000000000002</v>
      </c>
      <c r="J267" s="30" t="s">
        <v>106</v>
      </c>
    </row>
    <row r="268" spans="6:10" ht="17.25">
      <c r="I268" s="30"/>
    </row>
    <row r="269" spans="6:10" ht="17.25">
      <c r="I269" s="30">
        <f>SQRT(I267)</f>
        <v>1.3006152390311287</v>
      </c>
      <c r="J269" s="30" t="s">
        <v>102</v>
      </c>
    </row>
    <row r="273" spans="2:9">
      <c r="C273" s="3" t="s">
        <v>103</v>
      </c>
    </row>
    <row r="274" spans="2:9" ht="17.25">
      <c r="B274" s="30"/>
      <c r="C274" s="30" t="s">
        <v>95</v>
      </c>
      <c r="D274" s="30" t="s">
        <v>94</v>
      </c>
      <c r="E274" s="30"/>
      <c r="F274" s="41" t="s">
        <v>96</v>
      </c>
      <c r="G274" s="30" t="s">
        <v>97</v>
      </c>
      <c r="H274" s="30" t="s">
        <v>82</v>
      </c>
      <c r="I274" s="30" t="s">
        <v>98</v>
      </c>
    </row>
    <row r="275" spans="2:9" ht="17.25">
      <c r="B275" s="30"/>
      <c r="C275" s="20">
        <v>10</v>
      </c>
      <c r="D275" s="20">
        <v>9</v>
      </c>
      <c r="E275" s="40" t="s">
        <v>87</v>
      </c>
      <c r="F275" s="20">
        <v>4</v>
      </c>
      <c r="G275" s="35">
        <f>F275-C$221</f>
        <v>-3.7800000000000002</v>
      </c>
      <c r="H275" s="35">
        <f>C$281-F275</f>
        <v>2.6799999999999997</v>
      </c>
      <c r="I275" s="9">
        <f>H275^2</f>
        <v>7.1823999999999986</v>
      </c>
    </row>
    <row r="276" spans="2:9" ht="17.25">
      <c r="B276" s="30"/>
      <c r="C276" s="20">
        <v>9</v>
      </c>
      <c r="D276" s="20">
        <v>8</v>
      </c>
      <c r="E276" s="40" t="s">
        <v>88</v>
      </c>
      <c r="F276" s="20">
        <v>4</v>
      </c>
      <c r="G276" s="35">
        <f t="shared" ref="G276:G324" si="26">F276-C$221</f>
        <v>-3.7800000000000002</v>
      </c>
      <c r="H276" s="35">
        <f t="shared" ref="H276:H324" si="27">C$281-F276</f>
        <v>2.6799999999999997</v>
      </c>
      <c r="I276" s="9">
        <f t="shared" ref="I276:I324" si="28">H276^2</f>
        <v>7.1823999999999986</v>
      </c>
    </row>
    <row r="277" spans="2:9" ht="17.25">
      <c r="B277" s="30"/>
      <c r="C277" s="20">
        <v>8</v>
      </c>
      <c r="D277" s="20">
        <v>7</v>
      </c>
      <c r="E277" s="40" t="s">
        <v>89</v>
      </c>
      <c r="F277" s="20">
        <v>4</v>
      </c>
      <c r="G277" s="35">
        <f t="shared" si="26"/>
        <v>-3.7800000000000002</v>
      </c>
      <c r="H277" s="35">
        <f t="shared" si="27"/>
        <v>2.6799999999999997</v>
      </c>
      <c r="I277" s="9">
        <f t="shared" si="28"/>
        <v>7.1823999999999986</v>
      </c>
    </row>
    <row r="278" spans="2:9" ht="17.25">
      <c r="B278" s="30"/>
      <c r="C278" s="20">
        <v>7</v>
      </c>
      <c r="D278" s="20">
        <v>6</v>
      </c>
      <c r="E278" s="40" t="s">
        <v>90</v>
      </c>
      <c r="F278" s="20">
        <v>4</v>
      </c>
      <c r="G278" s="35">
        <f t="shared" si="26"/>
        <v>-3.7800000000000002</v>
      </c>
      <c r="H278" s="35">
        <f t="shared" si="27"/>
        <v>2.6799999999999997</v>
      </c>
      <c r="I278" s="9">
        <f t="shared" si="28"/>
        <v>7.1823999999999986</v>
      </c>
    </row>
    <row r="279" spans="2:9" ht="17.25">
      <c r="B279" s="30"/>
      <c r="C279" s="20">
        <v>10</v>
      </c>
      <c r="D279" s="20">
        <v>5</v>
      </c>
      <c r="E279" s="40" t="s">
        <v>91</v>
      </c>
      <c r="F279" s="20">
        <v>4</v>
      </c>
      <c r="G279" s="35">
        <f t="shared" si="26"/>
        <v>-3.7800000000000002</v>
      </c>
      <c r="H279" s="35">
        <f t="shared" si="27"/>
        <v>2.6799999999999997</v>
      </c>
      <c r="I279" s="9">
        <f t="shared" si="28"/>
        <v>7.1823999999999986</v>
      </c>
    </row>
    <row r="280" spans="2:9" ht="17.25">
      <c r="B280" s="30"/>
      <c r="C280" s="20">
        <v>6</v>
      </c>
      <c r="D280" s="20">
        <v>4</v>
      </c>
      <c r="E280" s="40" t="s">
        <v>92</v>
      </c>
      <c r="F280" s="20">
        <v>4</v>
      </c>
      <c r="G280" s="35">
        <f t="shared" si="26"/>
        <v>-3.7800000000000002</v>
      </c>
      <c r="H280" s="35">
        <f t="shared" si="27"/>
        <v>2.6799999999999997</v>
      </c>
      <c r="I280" s="9">
        <f t="shared" si="28"/>
        <v>7.1823999999999986</v>
      </c>
    </row>
    <row r="281" spans="2:9" ht="17.25">
      <c r="B281" s="30" t="s">
        <v>61</v>
      </c>
      <c r="C281" s="29">
        <f>AVERAGE(F275:F324)</f>
        <v>6.68</v>
      </c>
      <c r="D281" s="30"/>
      <c r="E281" s="30"/>
      <c r="F281" s="20">
        <v>5</v>
      </c>
      <c r="G281" s="35">
        <f t="shared" si="26"/>
        <v>-2.7800000000000002</v>
      </c>
      <c r="H281" s="35">
        <f t="shared" si="27"/>
        <v>1.6799999999999997</v>
      </c>
      <c r="I281" s="9">
        <f t="shared" si="28"/>
        <v>2.8223999999999991</v>
      </c>
    </row>
    <row r="282" spans="2:9" ht="17.25">
      <c r="B282" s="30" t="s">
        <v>62</v>
      </c>
      <c r="C282" s="28">
        <f>MEDIAN(F275:F324)</f>
        <v>7</v>
      </c>
      <c r="D282" s="29"/>
      <c r="E282" s="30"/>
      <c r="F282" s="20">
        <v>5</v>
      </c>
      <c r="G282" s="35">
        <f t="shared" si="26"/>
        <v>-2.7800000000000002</v>
      </c>
      <c r="H282" s="35">
        <f t="shared" si="27"/>
        <v>1.6799999999999997</v>
      </c>
      <c r="I282" s="9">
        <f t="shared" si="28"/>
        <v>2.8223999999999991</v>
      </c>
    </row>
    <row r="283" spans="2:9" ht="17.25">
      <c r="B283" s="30" t="s">
        <v>93</v>
      </c>
      <c r="C283" s="28">
        <f>MODE(F275:F324)</f>
        <v>5</v>
      </c>
      <c r="D283" s="29"/>
      <c r="E283" s="30"/>
      <c r="F283" s="20">
        <v>5</v>
      </c>
      <c r="G283" s="35">
        <f t="shared" si="26"/>
        <v>-2.7800000000000002</v>
      </c>
      <c r="H283" s="35">
        <f t="shared" si="27"/>
        <v>1.6799999999999997</v>
      </c>
      <c r="I283" s="9">
        <f t="shared" si="28"/>
        <v>2.8223999999999991</v>
      </c>
    </row>
    <row r="284" spans="2:9" ht="17.25">
      <c r="B284" s="44" t="s">
        <v>99</v>
      </c>
      <c r="C284" s="28">
        <f>9-4</f>
        <v>5</v>
      </c>
      <c r="D284" s="28"/>
      <c r="E284" s="30"/>
      <c r="F284" s="20">
        <v>5</v>
      </c>
      <c r="G284" s="35">
        <f t="shared" si="26"/>
        <v>-2.7800000000000002</v>
      </c>
      <c r="H284" s="35">
        <f t="shared" si="27"/>
        <v>1.6799999999999997</v>
      </c>
      <c r="I284" s="9">
        <f t="shared" si="28"/>
        <v>2.8223999999999991</v>
      </c>
    </row>
    <row r="285" spans="2:9" ht="16.5">
      <c r="F285" s="20">
        <v>5</v>
      </c>
      <c r="G285" s="35">
        <f t="shared" si="26"/>
        <v>-2.7800000000000002</v>
      </c>
      <c r="H285" s="35">
        <f t="shared" si="27"/>
        <v>1.6799999999999997</v>
      </c>
      <c r="I285" s="9">
        <f t="shared" si="28"/>
        <v>2.8223999999999991</v>
      </c>
    </row>
    <row r="286" spans="2:9" ht="16.5">
      <c r="F286" s="20">
        <v>5</v>
      </c>
      <c r="G286" s="35">
        <f t="shared" si="26"/>
        <v>-2.7800000000000002</v>
      </c>
      <c r="H286" s="35">
        <f t="shared" si="27"/>
        <v>1.6799999999999997</v>
      </c>
      <c r="I286" s="9">
        <f t="shared" si="28"/>
        <v>2.8223999999999991</v>
      </c>
    </row>
    <row r="287" spans="2:9" ht="16.5">
      <c r="F287" s="20">
        <v>5</v>
      </c>
      <c r="G287" s="35">
        <f t="shared" si="26"/>
        <v>-2.7800000000000002</v>
      </c>
      <c r="H287" s="35">
        <f t="shared" si="27"/>
        <v>1.6799999999999997</v>
      </c>
      <c r="I287" s="9">
        <f t="shared" si="28"/>
        <v>2.8223999999999991</v>
      </c>
    </row>
    <row r="288" spans="2:9" ht="16.5">
      <c r="F288" s="20">
        <v>5</v>
      </c>
      <c r="G288" s="35">
        <f t="shared" si="26"/>
        <v>-2.7800000000000002</v>
      </c>
      <c r="H288" s="35">
        <f t="shared" si="27"/>
        <v>1.6799999999999997</v>
      </c>
      <c r="I288" s="9">
        <f t="shared" si="28"/>
        <v>2.8223999999999991</v>
      </c>
    </row>
    <row r="289" spans="6:9" ht="16.5">
      <c r="F289" s="20">
        <v>5</v>
      </c>
      <c r="G289" s="35">
        <f t="shared" si="26"/>
        <v>-2.7800000000000002</v>
      </c>
      <c r="H289" s="35">
        <f t="shared" si="27"/>
        <v>1.6799999999999997</v>
      </c>
      <c r="I289" s="9">
        <f t="shared" si="28"/>
        <v>2.8223999999999991</v>
      </c>
    </row>
    <row r="290" spans="6:9" ht="16.5">
      <c r="F290" s="20">
        <v>5</v>
      </c>
      <c r="G290" s="35">
        <f t="shared" si="26"/>
        <v>-2.7800000000000002</v>
      </c>
      <c r="H290" s="35">
        <f t="shared" si="27"/>
        <v>1.6799999999999997</v>
      </c>
      <c r="I290" s="9">
        <f t="shared" si="28"/>
        <v>2.8223999999999991</v>
      </c>
    </row>
    <row r="291" spans="6:9" ht="16.5">
      <c r="F291" s="20">
        <v>6</v>
      </c>
      <c r="G291" s="35">
        <f t="shared" si="26"/>
        <v>-1.7800000000000002</v>
      </c>
      <c r="H291" s="35">
        <f t="shared" si="27"/>
        <v>0.67999999999999972</v>
      </c>
      <c r="I291" s="9">
        <f t="shared" si="28"/>
        <v>0.46239999999999959</v>
      </c>
    </row>
    <row r="292" spans="6:9" ht="16.5">
      <c r="F292" s="20">
        <v>6</v>
      </c>
      <c r="G292" s="35">
        <f t="shared" si="26"/>
        <v>-1.7800000000000002</v>
      </c>
      <c r="H292" s="35">
        <f t="shared" si="27"/>
        <v>0.67999999999999972</v>
      </c>
      <c r="I292" s="9">
        <f t="shared" si="28"/>
        <v>0.46239999999999959</v>
      </c>
    </row>
    <row r="293" spans="6:9" ht="16.5">
      <c r="F293" s="20">
        <v>6</v>
      </c>
      <c r="G293" s="35">
        <f t="shared" si="26"/>
        <v>-1.7800000000000002</v>
      </c>
      <c r="H293" s="35">
        <f t="shared" si="27"/>
        <v>0.67999999999999972</v>
      </c>
      <c r="I293" s="9">
        <f t="shared" si="28"/>
        <v>0.46239999999999959</v>
      </c>
    </row>
    <row r="294" spans="6:9" ht="16.5">
      <c r="F294" s="20">
        <v>6</v>
      </c>
      <c r="G294" s="35">
        <f t="shared" si="26"/>
        <v>-1.7800000000000002</v>
      </c>
      <c r="H294" s="35">
        <f t="shared" si="27"/>
        <v>0.67999999999999972</v>
      </c>
      <c r="I294" s="9">
        <f t="shared" si="28"/>
        <v>0.46239999999999959</v>
      </c>
    </row>
    <row r="295" spans="6:9" ht="16.5">
      <c r="F295" s="20">
        <v>6</v>
      </c>
      <c r="G295" s="35">
        <f t="shared" si="26"/>
        <v>-1.7800000000000002</v>
      </c>
      <c r="H295" s="35">
        <f t="shared" si="27"/>
        <v>0.67999999999999972</v>
      </c>
      <c r="I295" s="9">
        <f t="shared" si="28"/>
        <v>0.46239999999999959</v>
      </c>
    </row>
    <row r="296" spans="6:9" ht="16.5">
      <c r="F296" s="20">
        <v>6</v>
      </c>
      <c r="G296" s="35">
        <f t="shared" si="26"/>
        <v>-1.7800000000000002</v>
      </c>
      <c r="H296" s="35">
        <f t="shared" si="27"/>
        <v>0.67999999999999972</v>
      </c>
      <c r="I296" s="9">
        <f t="shared" si="28"/>
        <v>0.46239999999999959</v>
      </c>
    </row>
    <row r="297" spans="6:9" ht="16.5">
      <c r="F297" s="20">
        <v>6</v>
      </c>
      <c r="G297" s="35">
        <f t="shared" si="26"/>
        <v>-1.7800000000000002</v>
      </c>
      <c r="H297" s="35">
        <f t="shared" si="27"/>
        <v>0.67999999999999972</v>
      </c>
      <c r="I297" s="9">
        <f t="shared" si="28"/>
        <v>0.46239999999999959</v>
      </c>
    </row>
    <row r="298" spans="6:9" ht="16.5">
      <c r="F298" s="20">
        <v>7</v>
      </c>
      <c r="G298" s="35">
        <f t="shared" si="26"/>
        <v>-0.78000000000000025</v>
      </c>
      <c r="H298" s="35">
        <f>F298-C$281</f>
        <v>0.32000000000000028</v>
      </c>
      <c r="I298" s="9">
        <f t="shared" si="28"/>
        <v>0.10240000000000019</v>
      </c>
    </row>
    <row r="299" spans="6:9" ht="16.5">
      <c r="F299" s="20">
        <v>7</v>
      </c>
      <c r="G299" s="35">
        <f t="shared" si="26"/>
        <v>-0.78000000000000025</v>
      </c>
      <c r="H299" s="35">
        <f t="shared" ref="H299:H324" si="29">F299-C$281</f>
        <v>0.32000000000000028</v>
      </c>
      <c r="I299" s="9">
        <f t="shared" si="28"/>
        <v>0.10240000000000019</v>
      </c>
    </row>
    <row r="300" spans="6:9" ht="16.5">
      <c r="F300" s="20">
        <v>7</v>
      </c>
      <c r="G300" s="35">
        <f t="shared" si="26"/>
        <v>-0.78000000000000025</v>
      </c>
      <c r="H300" s="35">
        <f t="shared" si="29"/>
        <v>0.32000000000000028</v>
      </c>
      <c r="I300" s="9">
        <f t="shared" si="28"/>
        <v>0.10240000000000019</v>
      </c>
    </row>
    <row r="301" spans="6:9" ht="16.5">
      <c r="F301" s="20">
        <v>7</v>
      </c>
      <c r="G301" s="35">
        <f t="shared" si="26"/>
        <v>-0.78000000000000025</v>
      </c>
      <c r="H301" s="35">
        <f t="shared" si="29"/>
        <v>0.32000000000000028</v>
      </c>
      <c r="I301" s="9">
        <f t="shared" si="28"/>
        <v>0.10240000000000019</v>
      </c>
    </row>
    <row r="302" spans="6:9" ht="16.5">
      <c r="F302" s="20">
        <v>7</v>
      </c>
      <c r="G302" s="35">
        <f t="shared" si="26"/>
        <v>-0.78000000000000025</v>
      </c>
      <c r="H302" s="35">
        <f t="shared" si="29"/>
        <v>0.32000000000000028</v>
      </c>
      <c r="I302" s="9">
        <f t="shared" si="28"/>
        <v>0.10240000000000019</v>
      </c>
    </row>
    <row r="303" spans="6:9" ht="16.5">
      <c r="F303" s="20">
        <v>7</v>
      </c>
      <c r="G303" s="35">
        <f t="shared" si="26"/>
        <v>-0.78000000000000025</v>
      </c>
      <c r="H303" s="35">
        <f t="shared" si="29"/>
        <v>0.32000000000000028</v>
      </c>
      <c r="I303" s="9">
        <f t="shared" si="28"/>
        <v>0.10240000000000019</v>
      </c>
    </row>
    <row r="304" spans="6:9" ht="16.5">
      <c r="F304" s="20">
        <v>7</v>
      </c>
      <c r="G304" s="35">
        <f t="shared" si="26"/>
        <v>-0.78000000000000025</v>
      </c>
      <c r="H304" s="35">
        <f t="shared" si="29"/>
        <v>0.32000000000000028</v>
      </c>
      <c r="I304" s="9">
        <f t="shared" si="28"/>
        <v>0.10240000000000019</v>
      </c>
    </row>
    <row r="305" spans="6:9" ht="16.5">
      <c r="F305" s="20">
        <v>7</v>
      </c>
      <c r="G305" s="35">
        <f t="shared" si="26"/>
        <v>-0.78000000000000025</v>
      </c>
      <c r="H305" s="35">
        <f t="shared" si="29"/>
        <v>0.32000000000000028</v>
      </c>
      <c r="I305" s="9">
        <f t="shared" si="28"/>
        <v>0.10240000000000019</v>
      </c>
    </row>
    <row r="306" spans="6:9" ht="16.5">
      <c r="F306" s="20">
        <v>8</v>
      </c>
      <c r="G306" s="35">
        <f t="shared" si="26"/>
        <v>0.21999999999999975</v>
      </c>
      <c r="H306" s="35">
        <f t="shared" si="29"/>
        <v>1.3200000000000003</v>
      </c>
      <c r="I306" s="9">
        <f t="shared" si="28"/>
        <v>1.7424000000000008</v>
      </c>
    </row>
    <row r="307" spans="6:9" ht="16.5">
      <c r="F307" s="20">
        <v>8</v>
      </c>
      <c r="G307" s="35">
        <f t="shared" si="26"/>
        <v>0.21999999999999975</v>
      </c>
      <c r="H307" s="35">
        <f t="shared" si="29"/>
        <v>1.3200000000000003</v>
      </c>
      <c r="I307" s="9">
        <f t="shared" si="28"/>
        <v>1.7424000000000008</v>
      </c>
    </row>
    <row r="308" spans="6:9" ht="16.5">
      <c r="F308" s="20">
        <v>8</v>
      </c>
      <c r="G308" s="35">
        <f t="shared" si="26"/>
        <v>0.21999999999999975</v>
      </c>
      <c r="H308" s="35">
        <f t="shared" si="29"/>
        <v>1.3200000000000003</v>
      </c>
      <c r="I308" s="9">
        <f t="shared" si="28"/>
        <v>1.7424000000000008</v>
      </c>
    </row>
    <row r="309" spans="6:9" ht="16.5">
      <c r="F309" s="20">
        <v>8</v>
      </c>
      <c r="G309" s="35">
        <f t="shared" si="26"/>
        <v>0.21999999999999975</v>
      </c>
      <c r="H309" s="35">
        <f t="shared" si="29"/>
        <v>1.3200000000000003</v>
      </c>
      <c r="I309" s="9">
        <f t="shared" si="28"/>
        <v>1.7424000000000008</v>
      </c>
    </row>
    <row r="310" spans="6:9" ht="16.5">
      <c r="F310" s="20">
        <v>8</v>
      </c>
      <c r="G310" s="35">
        <f t="shared" si="26"/>
        <v>0.21999999999999975</v>
      </c>
      <c r="H310" s="35">
        <f t="shared" si="29"/>
        <v>1.3200000000000003</v>
      </c>
      <c r="I310" s="9">
        <f t="shared" si="28"/>
        <v>1.7424000000000008</v>
      </c>
    </row>
    <row r="311" spans="6:9" ht="16.5">
      <c r="F311" s="20">
        <v>8</v>
      </c>
      <c r="G311" s="35">
        <f t="shared" si="26"/>
        <v>0.21999999999999975</v>
      </c>
      <c r="H311" s="35">
        <f t="shared" si="29"/>
        <v>1.3200000000000003</v>
      </c>
      <c r="I311" s="9">
        <f t="shared" si="28"/>
        <v>1.7424000000000008</v>
      </c>
    </row>
    <row r="312" spans="6:9" ht="16.5">
      <c r="F312" s="20">
        <v>8</v>
      </c>
      <c r="G312" s="35">
        <f t="shared" si="26"/>
        <v>0.21999999999999975</v>
      </c>
      <c r="H312" s="35">
        <f t="shared" si="29"/>
        <v>1.3200000000000003</v>
      </c>
      <c r="I312" s="9">
        <f t="shared" si="28"/>
        <v>1.7424000000000008</v>
      </c>
    </row>
    <row r="313" spans="6:9" ht="16.5">
      <c r="F313" s="20">
        <v>8</v>
      </c>
      <c r="G313" s="35">
        <f t="shared" si="26"/>
        <v>0.21999999999999975</v>
      </c>
      <c r="H313" s="35">
        <f t="shared" si="29"/>
        <v>1.3200000000000003</v>
      </c>
      <c r="I313" s="9">
        <f t="shared" si="28"/>
        <v>1.7424000000000008</v>
      </c>
    </row>
    <row r="314" spans="6:9" ht="16.5">
      <c r="F314" s="20">
        <v>8</v>
      </c>
      <c r="G314" s="35">
        <f t="shared" si="26"/>
        <v>0.21999999999999975</v>
      </c>
      <c r="H314" s="35">
        <f t="shared" si="29"/>
        <v>1.3200000000000003</v>
      </c>
      <c r="I314" s="9">
        <f t="shared" si="28"/>
        <v>1.7424000000000008</v>
      </c>
    </row>
    <row r="315" spans="6:9" ht="16.5">
      <c r="F315" s="20">
        <v>9</v>
      </c>
      <c r="G315" s="35">
        <f t="shared" si="26"/>
        <v>1.2199999999999998</v>
      </c>
      <c r="H315" s="35">
        <f t="shared" si="29"/>
        <v>2.3200000000000003</v>
      </c>
      <c r="I315" s="9">
        <f t="shared" si="28"/>
        <v>5.3824000000000014</v>
      </c>
    </row>
    <row r="316" spans="6:9" ht="16.5">
      <c r="F316" s="20">
        <v>9</v>
      </c>
      <c r="G316" s="35">
        <f t="shared" si="26"/>
        <v>1.2199999999999998</v>
      </c>
      <c r="H316" s="35">
        <f t="shared" si="29"/>
        <v>2.3200000000000003</v>
      </c>
      <c r="I316" s="9">
        <f t="shared" si="28"/>
        <v>5.3824000000000014</v>
      </c>
    </row>
    <row r="317" spans="6:9" ht="16.5">
      <c r="F317" s="20">
        <v>9</v>
      </c>
      <c r="G317" s="35">
        <f t="shared" si="26"/>
        <v>1.2199999999999998</v>
      </c>
      <c r="H317" s="35">
        <f t="shared" si="29"/>
        <v>2.3200000000000003</v>
      </c>
      <c r="I317" s="9">
        <f t="shared" si="28"/>
        <v>5.3824000000000014</v>
      </c>
    </row>
    <row r="318" spans="6:9" ht="16.5">
      <c r="F318" s="20">
        <v>9</v>
      </c>
      <c r="G318" s="35">
        <f t="shared" si="26"/>
        <v>1.2199999999999998</v>
      </c>
      <c r="H318" s="35">
        <f t="shared" si="29"/>
        <v>2.3200000000000003</v>
      </c>
      <c r="I318" s="9">
        <f t="shared" si="28"/>
        <v>5.3824000000000014</v>
      </c>
    </row>
    <row r="319" spans="6:9" ht="16.5">
      <c r="F319" s="20">
        <v>9</v>
      </c>
      <c r="G319" s="35">
        <f t="shared" si="26"/>
        <v>1.2199999999999998</v>
      </c>
      <c r="H319" s="35">
        <f t="shared" si="29"/>
        <v>2.3200000000000003</v>
      </c>
      <c r="I319" s="9">
        <f t="shared" si="28"/>
        <v>5.3824000000000014</v>
      </c>
    </row>
    <row r="320" spans="6:9" ht="16.5">
      <c r="F320" s="20">
        <v>9</v>
      </c>
      <c r="G320" s="35">
        <f t="shared" si="26"/>
        <v>1.2199999999999998</v>
      </c>
      <c r="H320" s="35">
        <f t="shared" si="29"/>
        <v>2.3200000000000003</v>
      </c>
      <c r="I320" s="9">
        <f t="shared" si="28"/>
        <v>5.3824000000000014</v>
      </c>
    </row>
    <row r="321" spans="6:10" ht="16.5">
      <c r="F321" s="20">
        <v>9</v>
      </c>
      <c r="G321" s="35">
        <f t="shared" si="26"/>
        <v>1.2199999999999998</v>
      </c>
      <c r="H321" s="35">
        <f t="shared" si="29"/>
        <v>2.3200000000000003</v>
      </c>
      <c r="I321" s="9">
        <f t="shared" si="28"/>
        <v>5.3824000000000014</v>
      </c>
    </row>
    <row r="322" spans="6:10" ht="16.5">
      <c r="F322" s="20">
        <v>9</v>
      </c>
      <c r="G322" s="35">
        <f t="shared" si="26"/>
        <v>1.2199999999999998</v>
      </c>
      <c r="H322" s="35">
        <f t="shared" si="29"/>
        <v>2.3200000000000003</v>
      </c>
      <c r="I322" s="9">
        <f t="shared" si="28"/>
        <v>5.3824000000000014</v>
      </c>
    </row>
    <row r="323" spans="6:10" ht="16.5">
      <c r="F323" s="20">
        <v>9</v>
      </c>
      <c r="G323" s="35">
        <f t="shared" si="26"/>
        <v>1.2199999999999998</v>
      </c>
      <c r="H323" s="35">
        <f t="shared" si="29"/>
        <v>2.3200000000000003</v>
      </c>
      <c r="I323" s="9">
        <f t="shared" si="28"/>
        <v>5.3824000000000014</v>
      </c>
    </row>
    <row r="324" spans="6:10" ht="16.5">
      <c r="F324" s="20">
        <v>9</v>
      </c>
      <c r="G324" s="35">
        <f t="shared" si="26"/>
        <v>1.2199999999999998</v>
      </c>
      <c r="H324" s="35">
        <f t="shared" si="29"/>
        <v>2.3200000000000003</v>
      </c>
      <c r="I324" s="9">
        <f t="shared" si="28"/>
        <v>5.3824000000000014</v>
      </c>
    </row>
    <row r="325" spans="6:10" ht="17.25">
      <c r="H325" s="29">
        <f>SUM(H275:H324)</f>
        <v>75.279999999999973</v>
      </c>
      <c r="I325" s="29">
        <f>SUM(I275:I324)</f>
        <v>144.88000000000008</v>
      </c>
      <c r="J325" s="30" t="s">
        <v>107</v>
      </c>
    </row>
    <row r="326" spans="6:10">
      <c r="H326" s="42" t="s">
        <v>100</v>
      </c>
    </row>
    <row r="327" spans="6:10" ht="17.25">
      <c r="I327" s="29">
        <f>I325/50</f>
        <v>2.8976000000000015</v>
      </c>
      <c r="J327" s="30" t="s">
        <v>106</v>
      </c>
    </row>
    <row r="329" spans="6:10" ht="17.25">
      <c r="I329" s="30">
        <f>SQRT(I327)</f>
        <v>1.7022338264762575</v>
      </c>
      <c r="J329" s="30" t="s">
        <v>102</v>
      </c>
    </row>
    <row r="331" spans="6:10" ht="17.25">
      <c r="I331" s="49">
        <f>(I329/C281)</f>
        <v>0.25482542312518824</v>
      </c>
      <c r="J331" s="30" t="s">
        <v>108</v>
      </c>
    </row>
  </sheetData>
  <mergeCells count="6">
    <mergeCell ref="C55:D55"/>
    <mergeCell ref="C13:D13"/>
    <mergeCell ref="C24:D24"/>
    <mergeCell ref="C38:D38"/>
    <mergeCell ref="C52:D52"/>
    <mergeCell ref="C54:D54"/>
  </mergeCells>
  <phoneticPr fontId="26" type="noConversion"/>
  <pageMargins left="0" right="0" top="0.39370078740157477" bottom="0.39370078740157477" header="0" footer="0"/>
  <pageSetup paperSize="9" orientation="portrait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141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Statistica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Ashif Chowdhury</dc:creator>
  <cp:lastModifiedBy>Ashif Chowdhury</cp:lastModifiedBy>
  <cp:revision>29</cp:revision>
  <dcterms:created xsi:type="dcterms:W3CDTF">2025-11-18T11:05:31Z</dcterms:created>
  <dcterms:modified xsi:type="dcterms:W3CDTF">2025-12-02T09:17:40Z</dcterms:modified>
</cp:coreProperties>
</file>